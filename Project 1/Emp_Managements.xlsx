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Project\Project 1\"/>
    </mc:Choice>
  </mc:AlternateContent>
  <xr:revisionPtr revIDLastSave="0" documentId="13_ncr:1_{DBEF825B-AE2E-48B1-B48F-6F34BEA056B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udent" sheetId="1" r:id="rId1"/>
    <sheet name="Sales Data" sheetId="2" r:id="rId2"/>
    <sheet name="Employee Data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B15" i="3"/>
  <c r="E14" i="3"/>
  <c r="B14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H2" i="3"/>
  <c r="G2" i="3"/>
  <c r="F2" i="3"/>
  <c r="F18" i="2"/>
  <c r="B18" i="2"/>
  <c r="N15" i="2"/>
  <c r="J15" i="2"/>
  <c r="G15" i="2" a="1"/>
  <c r="G15" i="2" s="1"/>
  <c r="L11" i="2"/>
  <c r="K11" i="2" a="1"/>
  <c r="K11" i="2"/>
  <c r="I11" i="2"/>
  <c r="L10" i="2"/>
  <c r="K10" i="2" a="1"/>
  <c r="K10" i="2" s="1"/>
  <c r="I10" i="2"/>
  <c r="L9" i="2"/>
  <c r="K9" i="2" a="1"/>
  <c r="K9" i="2"/>
  <c r="I9" i="2"/>
  <c r="L8" i="2"/>
  <c r="K8" i="2" a="1"/>
  <c r="K8" i="2" s="1"/>
  <c r="I8" i="2"/>
  <c r="L7" i="2"/>
  <c r="K7" i="2" a="1"/>
  <c r="K7" i="2"/>
  <c r="I7" i="2"/>
  <c r="L6" i="2"/>
  <c r="K6" i="2" a="1"/>
  <c r="K6" i="2" s="1"/>
  <c r="I6" i="2"/>
  <c r="L5" i="2"/>
  <c r="K5" i="2" a="1"/>
  <c r="K5" i="2"/>
  <c r="I5" i="2"/>
  <c r="C15" i="2" s="1"/>
  <c r="L4" i="2"/>
  <c r="K4" i="2" a="1"/>
  <c r="K4" i="2" s="1"/>
  <c r="I4" i="2"/>
  <c r="L3" i="2"/>
  <c r="K3" i="2" a="1"/>
  <c r="K3" i="2"/>
  <c r="I3" i="2"/>
  <c r="L2" i="2"/>
  <c r="K2" i="2" a="1"/>
  <c r="K2" i="2" s="1"/>
  <c r="I2" i="2"/>
  <c r="M11" i="1"/>
  <c r="J11" i="1"/>
  <c r="K11" i="1" s="1"/>
  <c r="I11" i="1"/>
  <c r="H11" i="1"/>
  <c r="G11" i="1" a="1"/>
  <c r="G11" i="1"/>
  <c r="F11" i="1"/>
  <c r="M10" i="1"/>
  <c r="L10" i="1"/>
  <c r="K10" i="1"/>
  <c r="J10" i="1"/>
  <c r="I10" i="1"/>
  <c r="H10" i="1"/>
  <c r="G10" i="1" a="1"/>
  <c r="G10" i="1"/>
  <c r="F10" i="1"/>
  <c r="M9" i="1"/>
  <c r="L9" i="1"/>
  <c r="J9" i="1"/>
  <c r="K9" i="1" s="1"/>
  <c r="I9" i="1"/>
  <c r="H9" i="1"/>
  <c r="G9" i="1" a="1"/>
  <c r="G9" i="1"/>
  <c r="F9" i="1"/>
  <c r="M8" i="1"/>
  <c r="J8" i="1"/>
  <c r="L8" i="1" s="1"/>
  <c r="I8" i="1"/>
  <c r="H8" i="1"/>
  <c r="G8" i="1" a="1"/>
  <c r="G8" i="1"/>
  <c r="F8" i="1"/>
  <c r="M7" i="1"/>
  <c r="J7" i="1"/>
  <c r="K7" i="1" s="1"/>
  <c r="I7" i="1"/>
  <c r="H7" i="1"/>
  <c r="G7" i="1" a="1"/>
  <c r="G7" i="1"/>
  <c r="F7" i="1"/>
  <c r="M6" i="1"/>
  <c r="J6" i="1"/>
  <c r="L6" i="1" s="1"/>
  <c r="I6" i="1"/>
  <c r="H6" i="1"/>
  <c r="G6" i="1" a="1"/>
  <c r="G6" i="1" s="1"/>
  <c r="F6" i="1"/>
  <c r="C26" i="1"/>
  <c r="M5" i="1"/>
  <c r="J5" i="1"/>
  <c r="L5" i="1" s="1"/>
  <c r="I5" i="1"/>
  <c r="H5" i="1"/>
  <c r="G5" i="1" a="1"/>
  <c r="G5" i="1"/>
  <c r="F5" i="1"/>
  <c r="M4" i="1"/>
  <c r="J4" i="1"/>
  <c r="L4" i="1" s="1"/>
  <c r="I4" i="1"/>
  <c r="H4" i="1"/>
  <c r="G4" i="1" a="1"/>
  <c r="G4" i="1"/>
  <c r="F4" i="1"/>
  <c r="M3" i="1"/>
  <c r="L3" i="1"/>
  <c r="K3" i="1"/>
  <c r="J3" i="1"/>
  <c r="I3" i="1"/>
  <c r="H3" i="1"/>
  <c r="G3" i="1" a="1"/>
  <c r="G3" i="1"/>
  <c r="F3" i="1"/>
  <c r="M2" i="1"/>
  <c r="L2" i="1"/>
  <c r="J2" i="1"/>
  <c r="K2" i="1" s="1"/>
  <c r="I2" i="1"/>
  <c r="H2" i="1"/>
  <c r="G2" i="1" a="1"/>
  <c r="G2" i="1"/>
  <c r="F2" i="1"/>
  <c r="C15" i="1" s="1" a="1"/>
  <c r="C22" i="1"/>
  <c r="J18" i="2"/>
  <c r="C17" i="1" l="1"/>
  <c r="C18" i="1"/>
  <c r="C16" i="1"/>
  <c r="C15" i="1"/>
  <c r="K4" i="1"/>
  <c r="K5" i="1"/>
  <c r="L11" i="1"/>
  <c r="K6" i="1"/>
  <c r="B15" i="1" a="1"/>
  <c r="L7" i="1"/>
  <c r="K8" i="1"/>
  <c r="B17" i="1" l="1"/>
  <c r="B15" i="1"/>
  <c r="B16" i="1"/>
  <c r="B18" i="1"/>
</calcChain>
</file>

<file path=xl/sharedStrings.xml><?xml version="1.0" encoding="utf-8"?>
<sst xmlns="http://schemas.openxmlformats.org/spreadsheetml/2006/main" count="169" uniqueCount="123">
  <si>
    <t>Student ID</t>
  </si>
  <si>
    <t>Full Name</t>
  </si>
  <si>
    <t>DOB</t>
  </si>
  <si>
    <t>Math</t>
  </si>
  <si>
    <t>Science</t>
  </si>
  <si>
    <t>Average</t>
  </si>
  <si>
    <t>Grade</t>
  </si>
  <si>
    <t>Above 80 in SCI &amp; MATH</t>
  </si>
  <si>
    <t>Average Score Above 60</t>
  </si>
  <si>
    <t>First Name</t>
  </si>
  <si>
    <t>Name (Upper)</t>
  </si>
  <si>
    <t>Name (Lower)</t>
  </si>
  <si>
    <t>Age</t>
  </si>
  <si>
    <t>Count of Student Math&gt;50</t>
  </si>
  <si>
    <t>Kabir Mehta</t>
  </si>
  <si>
    <t>2005-04-12</t>
  </si>
  <si>
    <t>Ananya Sharma</t>
  </si>
  <si>
    <t>2008-08-15</t>
  </si>
  <si>
    <t>Fetch Student ID:-</t>
  </si>
  <si>
    <t>Dev Patel</t>
  </si>
  <si>
    <t>2006-12-10</t>
  </si>
  <si>
    <t>Fetch Colum Number:-</t>
  </si>
  <si>
    <t>Isha Verma</t>
  </si>
  <si>
    <t>2008-03-22</t>
  </si>
  <si>
    <t>Fetched:-</t>
  </si>
  <si>
    <t>Rohan Kapoor</t>
  </si>
  <si>
    <t>2009-10-05</t>
  </si>
  <si>
    <t>Tara Joshi</t>
  </si>
  <si>
    <t>2008-06-18</t>
  </si>
  <si>
    <t>Aditya Rao</t>
  </si>
  <si>
    <t>2006-01-14</t>
  </si>
  <si>
    <t>Sanya Nair</t>
  </si>
  <si>
    <t>2007-11-29</t>
  </si>
  <si>
    <t>Vihaan Gupta</t>
  </si>
  <si>
    <t>2006-09-08</t>
  </si>
  <si>
    <t>Riya Sen</t>
  </si>
  <si>
    <t>2008-05-21</t>
  </si>
  <si>
    <t>Rank</t>
  </si>
  <si>
    <t>Student Name</t>
  </si>
  <si>
    <t>Score</t>
  </si>
  <si>
    <t>Sales ID</t>
  </si>
  <si>
    <t>Region</t>
  </si>
  <si>
    <t>Product</t>
  </si>
  <si>
    <t>Product code</t>
  </si>
  <si>
    <t>Sales Person</t>
  </si>
  <si>
    <t>Month</t>
  </si>
  <si>
    <t>Price</t>
  </si>
  <si>
    <t>Quantity</t>
  </si>
  <si>
    <t>Sales Amount</t>
  </si>
  <si>
    <t>Date</t>
  </si>
  <si>
    <t>Discount %</t>
  </si>
  <si>
    <t xml:space="preserve">Discound Eligible </t>
  </si>
  <si>
    <t>North</t>
  </si>
  <si>
    <t>Laptop</t>
  </si>
  <si>
    <t>Vikram Malhotra</t>
  </si>
  <si>
    <t>Jan</t>
  </si>
  <si>
    <t>2026-01-15</t>
  </si>
  <si>
    <t>South</t>
  </si>
  <si>
    <t>Monitor</t>
  </si>
  <si>
    <t>Pooja Hegde</t>
  </si>
  <si>
    <t>2026-01-20</t>
  </si>
  <si>
    <t>Feb</t>
  </si>
  <si>
    <t>2026-02-10</t>
  </si>
  <si>
    <t>East</t>
  </si>
  <si>
    <t>Keyboard</t>
  </si>
  <si>
    <t>Siddharth Roy</t>
  </si>
  <si>
    <t>2026-02-14</t>
  </si>
  <si>
    <t>West</t>
  </si>
  <si>
    <t>Kavya Singhania</t>
  </si>
  <si>
    <t>Mar</t>
  </si>
  <si>
    <t>2026-03-05</t>
  </si>
  <si>
    <t>2026-03-18</t>
  </si>
  <si>
    <t>Mouse</t>
  </si>
  <si>
    <t>Apr</t>
  </si>
  <si>
    <t>2026-04-22</t>
  </si>
  <si>
    <t>2026-04-28</t>
  </si>
  <si>
    <t>May</t>
  </si>
  <si>
    <t>2026-05-12</t>
  </si>
  <si>
    <t>2026-05-25</t>
  </si>
  <si>
    <t xml:space="preserve">Total Sales </t>
  </si>
  <si>
    <t>Sales</t>
  </si>
  <si>
    <t>Row Position</t>
  </si>
  <si>
    <t>Recent Sales Total</t>
  </si>
  <si>
    <t>Trend Total</t>
  </si>
  <si>
    <t>Rahul Desai</t>
  </si>
  <si>
    <t>Product Code</t>
  </si>
  <si>
    <t>Reference</t>
  </si>
  <si>
    <t>Sum using INDIRECT</t>
  </si>
  <si>
    <t>Sonal Kapoor</t>
  </si>
  <si>
    <t>I2:I11</t>
  </si>
  <si>
    <t>Employee ID</t>
  </si>
  <si>
    <t>Name</t>
  </si>
  <si>
    <t>Department</t>
  </si>
  <si>
    <t>Salary</t>
  </si>
  <si>
    <t>Joining Date</t>
  </si>
  <si>
    <t>Salary (Round)</t>
  </si>
  <si>
    <t>Salary (Ceil)</t>
  </si>
  <si>
    <t>Salary (Floor)</t>
  </si>
  <si>
    <t>Manish Agarwal</t>
  </si>
  <si>
    <t>2019-05-10</t>
  </si>
  <si>
    <t>Neha Saxena</t>
  </si>
  <si>
    <t>Marketing</t>
  </si>
  <si>
    <t>2021-01-15</t>
  </si>
  <si>
    <t>Karan Singhal</t>
  </si>
  <si>
    <t>Finance</t>
  </si>
  <si>
    <t>2017-08-20</t>
  </si>
  <si>
    <t>Shruti Das</t>
  </si>
  <si>
    <t>HR</t>
  </si>
  <si>
    <t>2022-10-05</t>
  </si>
  <si>
    <t>Arjun Fernandez</t>
  </si>
  <si>
    <t>IT</t>
  </si>
  <si>
    <t>2018-03-12</t>
  </si>
  <si>
    <t>Priya Banerjee</t>
  </si>
  <si>
    <t>2020-06-25</t>
  </si>
  <si>
    <t>Rahul Deshmukh</t>
  </si>
  <si>
    <t>2023-02-18</t>
  </si>
  <si>
    <t>Simran Kaur</t>
  </si>
  <si>
    <t>2016-11-30</t>
  </si>
  <si>
    <t>Gaurav Pandey</t>
  </si>
  <si>
    <t>2025-05-15</t>
  </si>
  <si>
    <t>Tanya Bhatia</t>
  </si>
  <si>
    <t>2023-07-10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</si>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</sst>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₹-446]\ #,##0"/>
    <numFmt numFmtId="165" formatCode="[$₹-447]#,##0"/>
    <numFmt numFmtId="166" formatCode="dd\-mm\-yyyy"/>
    <numFmt numFmtId="167" formatCode="[$-14009]dd\-mm\-yyyy;@"/>
    <numFmt numFmtId="168" formatCode="[$₹-4009]\ #,##0.00"/>
    <numFmt numFmtId="169" formatCode="[$₹-4009]\ #,##0"/>
    <numFmt numFmtId="170" formatCode="\₹#,##0"/>
    <numFmt numFmtId="171" formatCode="\₹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166" fontId="4" fillId="3" borderId="2" xfId="1" applyNumberFormat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left" vertical="center"/>
    </xf>
    <xf numFmtId="166" fontId="4" fillId="4" borderId="2" xfId="1" applyNumberFormat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0" fontId="4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left" vertical="center"/>
    </xf>
    <xf numFmtId="170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left" vertical="center"/>
    </xf>
    <xf numFmtId="167" fontId="4" fillId="3" borderId="2" xfId="0" applyNumberFormat="1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left" vertical="center"/>
    </xf>
    <xf numFmtId="167" fontId="4" fillId="4" borderId="2" xfId="0" applyNumberFormat="1" applyFont="1" applyFill="1" applyBorder="1" applyAlignment="1">
      <alignment horizontal="left" vertical="center"/>
    </xf>
    <xf numFmtId="171" fontId="4" fillId="3" borderId="2" xfId="0" applyNumberFormat="1" applyFont="1" applyFill="1" applyBorder="1" applyAlignment="1">
      <alignment horizontal="right" vertical="center"/>
    </xf>
    <xf numFmtId="169" fontId="4" fillId="3" borderId="2" xfId="0" applyNumberFormat="1" applyFont="1" applyFill="1" applyBorder="1" applyAlignment="1">
      <alignment horizontal="center" vertical="center"/>
    </xf>
    <xf numFmtId="171" fontId="4" fillId="4" borderId="2" xfId="0" applyNumberFormat="1" applyFont="1" applyFill="1" applyBorder="1" applyAlignment="1">
      <alignment horizontal="right" vertical="center"/>
    </xf>
    <xf numFmtId="169" fontId="4" fillId="4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zoomScale="42" workbookViewId="0">
      <selection activeCell="E28" sqref="E28"/>
    </sheetView>
  </sheetViews>
  <sheetFormatPr defaultColWidth="8.90625" defaultRowHeight="14.5"/>
  <cols>
    <col min="1" max="1" width="14" style="1" bestFit="1" customWidth="1"/>
    <col min="2" max="3" width="70" style="1" bestFit="1" customWidth="1"/>
    <col min="4" max="4" width="12" style="1" customWidth="1"/>
    <col min="5" max="5" width="12" customWidth="1"/>
    <col min="6" max="6" width="21" customWidth="1"/>
    <col min="7" max="7" width="70" customWidth="1"/>
    <col min="8" max="8" width="41" style="1" customWidth="1"/>
    <col min="9" max="9" width="51" customWidth="1"/>
    <col min="10" max="10" width="31" style="1" bestFit="1" customWidth="1"/>
    <col min="11" max="12" width="16" style="1" bestFit="1" customWidth="1"/>
    <col min="13" max="13" width="31" style="1" customWidth="1"/>
    <col min="14" max="15" width="12" customWidth="1"/>
    <col min="16" max="16" width="28" style="1" bestFit="1" customWidth="1"/>
    <col min="17" max="17" width="34" style="1" bestFit="1" customWidth="1"/>
    <col min="18" max="19" width="12" style="1" customWidth="1"/>
    <col min="20" max="20" width="12" customWidth="1"/>
    <col min="21" max="21" width="8.90625" style="1" customWidth="1"/>
    <col min="22" max="16384" width="8.90625" style="1"/>
  </cols>
  <sheetData>
    <row r="1" spans="1:20" s="2" customFormat="1" ht="43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20" ht="14.4" customHeight="1">
      <c r="A2" s="13">
        <v>1</v>
      </c>
      <c r="B2" s="14" t="s">
        <v>14</v>
      </c>
      <c r="C2" s="15" t="s">
        <v>15</v>
      </c>
      <c r="D2" s="16">
        <v>88</v>
      </c>
      <c r="E2" s="16">
        <v>94</v>
      </c>
      <c r="F2" s="17">
        <f t="shared" ref="F2:F11" si="0">AVERAGE(D2:E2)</f>
        <v>91</v>
      </c>
      <c r="G2" s="18" t="str">
        <f t="array" ref="G2">IF(OR(D2&lt;35,E2&lt;35),"F",_xlfn.IFS(AVERAGE(D2:E2)&gt;90,"A",AVERAGE(D2:E2)&gt;75,"B",AVERAGE(D2:E2)&gt;60,"C",AVERAGE(D2:E2)&gt;50,"D",TRUE,"F"))</f>
        <v>A</v>
      </c>
      <c r="H2" s="13" t="str">
        <f t="shared" ref="H2:H11" si="1">IF(AND(D2&gt;80, E2&gt;80), "YES", "NO")</f>
        <v>YES</v>
      </c>
      <c r="I2" s="13">
        <f t="shared" ref="I2:I11" si="2">IF(AND(D2&gt;60, E2&gt;60), AVERAGE(D2:E2), "-")</f>
        <v>91</v>
      </c>
      <c r="J2" s="13" t="str">
        <f t="shared" ref="J2:J11" si="3">LEFT(B2, FIND(" ",B2)-1)</f>
        <v>Kabir</v>
      </c>
      <c r="K2" s="13" t="str">
        <f t="shared" ref="K2:K11" si="4">UPPER(J2)</f>
        <v>KABIR</v>
      </c>
      <c r="L2" s="13" t="str">
        <f t="shared" ref="L2:L11" si="5">LOWER(J2)</f>
        <v>kabir</v>
      </c>
      <c r="M2" s="13">
        <f t="shared" ref="M2:M11" ca="1" si="6">DATEDIF(C2, TODAY(), "y")</f>
        <v>21</v>
      </c>
      <c r="N2" s="1"/>
      <c r="O2" s="1"/>
      <c r="S2" s="2"/>
      <c r="T2" s="1"/>
    </row>
    <row r="3" spans="1:20">
      <c r="A3" s="19">
        <v>2</v>
      </c>
      <c r="B3" s="20" t="s">
        <v>16</v>
      </c>
      <c r="C3" s="21" t="s">
        <v>17</v>
      </c>
      <c r="D3" s="22">
        <v>91</v>
      </c>
      <c r="E3" s="22">
        <v>89</v>
      </c>
      <c r="F3" s="23">
        <f t="shared" si="0"/>
        <v>90</v>
      </c>
      <c r="G3" s="24" t="str">
        <f t="array" ref="G3">IF(OR(D3&lt;35,E3&lt;35),"F",_xlfn.IFS(AVERAGE(D3:E3)&gt;90,"A",AVERAGE(D3:E3)&gt;75,"B",AVERAGE(D3:E3)&gt;60,"C",AVERAGE(D3:E3)&gt;50,"D",TRUE,"F"))</f>
        <v>B</v>
      </c>
      <c r="H3" s="19" t="str">
        <f t="shared" si="1"/>
        <v>YES</v>
      </c>
      <c r="I3" s="19">
        <f t="shared" si="2"/>
        <v>90</v>
      </c>
      <c r="J3" s="19" t="str">
        <f t="shared" si="3"/>
        <v>Ananya</v>
      </c>
      <c r="K3" s="19" t="str">
        <f t="shared" si="4"/>
        <v>ANANYA</v>
      </c>
      <c r="L3" s="19" t="str">
        <f t="shared" si="5"/>
        <v>ananya</v>
      </c>
      <c r="M3" s="19">
        <f t="shared" ca="1" si="6"/>
        <v>18</v>
      </c>
      <c r="N3" s="1"/>
      <c r="O3" s="1"/>
      <c r="S3" s="5"/>
      <c r="T3" s="1"/>
    </row>
    <row r="4" spans="1:20">
      <c r="A4" s="13">
        <v>3</v>
      </c>
      <c r="B4" s="14" t="s">
        <v>19</v>
      </c>
      <c r="C4" s="15" t="s">
        <v>20</v>
      </c>
      <c r="D4" s="16">
        <v>72</v>
      </c>
      <c r="E4" s="16">
        <v>65</v>
      </c>
      <c r="F4" s="17">
        <f t="shared" si="0"/>
        <v>68.5</v>
      </c>
      <c r="G4" s="18" t="str">
        <f t="array" ref="G4">IF(OR(D4&lt;35,E4&lt;35),"F",_xlfn.IFS(AVERAGE(D4:E4)&gt;90,"A",AVERAGE(D4:E4)&gt;75,"B",AVERAGE(D4:E4)&gt;60,"C",AVERAGE(D4:E4)&gt;50,"D",TRUE,"F"))</f>
        <v>C</v>
      </c>
      <c r="H4" s="13" t="str">
        <f t="shared" si="1"/>
        <v>NO</v>
      </c>
      <c r="I4" s="13">
        <f t="shared" si="2"/>
        <v>68.5</v>
      </c>
      <c r="J4" s="13" t="str">
        <f t="shared" si="3"/>
        <v>Dev</v>
      </c>
      <c r="K4" s="13" t="str">
        <f t="shared" si="4"/>
        <v>DEV</v>
      </c>
      <c r="L4" s="13" t="str">
        <f t="shared" si="5"/>
        <v>dev</v>
      </c>
      <c r="M4" s="13">
        <f t="shared" ca="1" si="6"/>
        <v>19</v>
      </c>
      <c r="N4" s="1"/>
      <c r="O4" s="1"/>
      <c r="S4" s="2"/>
      <c r="T4" s="1"/>
    </row>
    <row r="5" spans="1:20">
      <c r="A5" s="19">
        <v>4</v>
      </c>
      <c r="B5" s="20" t="s">
        <v>22</v>
      </c>
      <c r="C5" s="21" t="s">
        <v>23</v>
      </c>
      <c r="D5" s="22">
        <v>95</v>
      </c>
      <c r="E5" s="22">
        <v>98</v>
      </c>
      <c r="F5" s="23">
        <f t="shared" si="0"/>
        <v>96.5</v>
      </c>
      <c r="G5" s="24" t="str">
        <f t="array" ref="G5">IF(OR(D5&lt;35,E5&lt;35),"F",_xlfn.IFS(AVERAGE(D5:E5)&gt;90,"A",AVERAGE(D5:E5)&gt;75,"B",AVERAGE(D5:E5)&gt;60,"C",AVERAGE(D5:E5)&gt;50,"D",TRUE,"F"))</f>
        <v>A</v>
      </c>
      <c r="H5" s="19" t="str">
        <f t="shared" si="1"/>
        <v>YES</v>
      </c>
      <c r="I5" s="19">
        <f t="shared" si="2"/>
        <v>96.5</v>
      </c>
      <c r="J5" s="19" t="str">
        <f t="shared" si="3"/>
        <v>Isha</v>
      </c>
      <c r="K5" s="19" t="str">
        <f t="shared" si="4"/>
        <v>ISHA</v>
      </c>
      <c r="L5" s="19" t="str">
        <f t="shared" si="5"/>
        <v>isha</v>
      </c>
      <c r="M5" s="19">
        <f t="shared" ca="1" si="6"/>
        <v>18</v>
      </c>
      <c r="N5" s="1"/>
      <c r="O5" s="1"/>
      <c r="S5" s="2"/>
      <c r="T5" s="1"/>
    </row>
    <row r="6" spans="1:20">
      <c r="A6" s="13">
        <v>5</v>
      </c>
      <c r="B6" s="14" t="s">
        <v>25</v>
      </c>
      <c r="C6" s="15" t="s">
        <v>26</v>
      </c>
      <c r="D6" s="16">
        <v>81</v>
      </c>
      <c r="E6" s="16">
        <v>79</v>
      </c>
      <c r="F6" s="17">
        <f t="shared" si="0"/>
        <v>80</v>
      </c>
      <c r="G6" s="18" t="str">
        <f t="array" ref="G6">IF(OR(D6&lt;35,E6&lt;35),"F",_xlfn.IFS(AVERAGE(D6:E6)&gt;90,"A",AVERAGE(D6:E6)&gt;75,"B",AVERAGE(D6:E6)&gt;60,"C",AVERAGE(D6:E6)&gt;50,"D",TRUE,"F"))</f>
        <v>B</v>
      </c>
      <c r="H6" s="13" t="str">
        <f t="shared" si="1"/>
        <v>NO</v>
      </c>
      <c r="I6" s="13">
        <f t="shared" si="2"/>
        <v>80</v>
      </c>
      <c r="J6" s="13" t="str">
        <f t="shared" si="3"/>
        <v>Rohan</v>
      </c>
      <c r="K6" s="13" t="str">
        <f t="shared" si="4"/>
        <v>ROHAN</v>
      </c>
      <c r="L6" s="13" t="str">
        <f t="shared" si="5"/>
        <v>rohan</v>
      </c>
      <c r="M6" s="13">
        <f t="shared" ca="1" si="6"/>
        <v>16</v>
      </c>
      <c r="N6" s="1"/>
      <c r="O6" s="1"/>
      <c r="S6" s="2"/>
      <c r="T6" s="1"/>
    </row>
    <row r="7" spans="1:20">
      <c r="A7" s="19">
        <v>6</v>
      </c>
      <c r="B7" s="20" t="s">
        <v>27</v>
      </c>
      <c r="C7" s="21" t="s">
        <v>28</v>
      </c>
      <c r="D7" s="22">
        <v>89</v>
      </c>
      <c r="E7" s="22">
        <v>93</v>
      </c>
      <c r="F7" s="23">
        <f t="shared" si="0"/>
        <v>91</v>
      </c>
      <c r="G7" s="24" t="str">
        <f t="array" ref="G7">IF(OR(D7&lt;35,E7&lt;35),"F",_xlfn.IFS(AVERAGE(D7:E7)&gt;90,"A",AVERAGE(D7:E7)&gt;75,"B",AVERAGE(D7:E7)&gt;60,"C",AVERAGE(D7:E7)&gt;50,"D",TRUE,"F"))</f>
        <v>A</v>
      </c>
      <c r="H7" s="19" t="str">
        <f t="shared" si="1"/>
        <v>YES</v>
      </c>
      <c r="I7" s="19">
        <f t="shared" si="2"/>
        <v>91</v>
      </c>
      <c r="J7" s="19" t="str">
        <f t="shared" si="3"/>
        <v>Tara</v>
      </c>
      <c r="K7" s="19" t="str">
        <f t="shared" si="4"/>
        <v>TARA</v>
      </c>
      <c r="L7" s="19" t="str">
        <f t="shared" si="5"/>
        <v>tara</v>
      </c>
      <c r="M7" s="19">
        <f t="shared" ca="1" si="6"/>
        <v>18</v>
      </c>
      <c r="N7" s="1"/>
      <c r="O7" s="1"/>
    </row>
    <row r="8" spans="1:20">
      <c r="A8" s="13">
        <v>7</v>
      </c>
      <c r="B8" s="14" t="s">
        <v>29</v>
      </c>
      <c r="C8" s="15" t="s">
        <v>30</v>
      </c>
      <c r="D8" s="16">
        <v>76</v>
      </c>
      <c r="E8" s="16">
        <v>82</v>
      </c>
      <c r="F8" s="17">
        <f t="shared" si="0"/>
        <v>79</v>
      </c>
      <c r="G8" s="18" t="str">
        <f t="array" ref="G8">IF(OR(D8&lt;35,E8&lt;35),"F",_xlfn.IFS(AVERAGE(D8:E8)&gt;90,"A",AVERAGE(D8:E8)&gt;75,"B",AVERAGE(D8:E8)&gt;60,"C",AVERAGE(D8:E8)&gt;50,"D",TRUE,"F"))</f>
        <v>B</v>
      </c>
      <c r="H8" s="13" t="str">
        <f t="shared" si="1"/>
        <v>NO</v>
      </c>
      <c r="I8" s="13">
        <f t="shared" si="2"/>
        <v>79</v>
      </c>
      <c r="J8" s="13" t="str">
        <f t="shared" si="3"/>
        <v>Aditya</v>
      </c>
      <c r="K8" s="13" t="str">
        <f t="shared" si="4"/>
        <v>ADITYA</v>
      </c>
      <c r="L8" s="13" t="str">
        <f t="shared" si="5"/>
        <v>aditya</v>
      </c>
      <c r="M8" s="13">
        <f t="shared" ca="1" si="6"/>
        <v>20</v>
      </c>
      <c r="N8" s="1"/>
      <c r="O8" s="1"/>
    </row>
    <row r="9" spans="1:20">
      <c r="A9" s="19">
        <v>8</v>
      </c>
      <c r="B9" s="20" t="s">
        <v>31</v>
      </c>
      <c r="C9" s="21" t="s">
        <v>32</v>
      </c>
      <c r="D9" s="22">
        <v>62</v>
      </c>
      <c r="E9" s="22">
        <v>68</v>
      </c>
      <c r="F9" s="23">
        <f t="shared" si="0"/>
        <v>65</v>
      </c>
      <c r="G9" s="24" t="str">
        <f t="array" ref="G9">IF(OR(D9&lt;35,E9&lt;35),"F",_xlfn.IFS(AVERAGE(D9:E9)&gt;90,"A",AVERAGE(D9:E9)&gt;75,"B",AVERAGE(D9:E9)&gt;60,"C",AVERAGE(D9:E9)&gt;50,"D",TRUE,"F"))</f>
        <v>C</v>
      </c>
      <c r="H9" s="19" t="str">
        <f t="shared" si="1"/>
        <v>NO</v>
      </c>
      <c r="I9" s="19">
        <f t="shared" si="2"/>
        <v>65</v>
      </c>
      <c r="J9" s="19" t="str">
        <f t="shared" si="3"/>
        <v>Sanya</v>
      </c>
      <c r="K9" s="19" t="str">
        <f t="shared" si="4"/>
        <v>SANYA</v>
      </c>
      <c r="L9" s="19" t="str">
        <f t="shared" si="5"/>
        <v>sanya</v>
      </c>
      <c r="M9" s="19">
        <f t="shared" ca="1" si="6"/>
        <v>18</v>
      </c>
      <c r="N9" s="1"/>
      <c r="O9" s="1"/>
    </row>
    <row r="10" spans="1:20">
      <c r="A10" s="13">
        <v>9</v>
      </c>
      <c r="B10" s="14" t="s">
        <v>33</v>
      </c>
      <c r="C10" s="15" t="s">
        <v>34</v>
      </c>
      <c r="D10" s="16">
        <v>93</v>
      </c>
      <c r="E10" s="16">
        <v>90</v>
      </c>
      <c r="F10" s="17">
        <f t="shared" si="0"/>
        <v>91.5</v>
      </c>
      <c r="G10" s="18" t="str">
        <f t="array" ref="G10">IF(OR(D10&lt;35,E10&lt;35),"F",_xlfn.IFS(AVERAGE(D10:E10)&gt;90,"A",AVERAGE(D10:E10)&gt;75,"B",AVERAGE(D10:E10)&gt;60,"C",AVERAGE(D10:E10)&gt;50,"D",TRUE,"F"))</f>
        <v>A</v>
      </c>
      <c r="H10" s="13" t="str">
        <f t="shared" si="1"/>
        <v>YES</v>
      </c>
      <c r="I10" s="13">
        <f t="shared" si="2"/>
        <v>91.5</v>
      </c>
      <c r="J10" s="13" t="str">
        <f t="shared" si="3"/>
        <v>Vihaan</v>
      </c>
      <c r="K10" s="13" t="str">
        <f t="shared" si="4"/>
        <v>VIHAAN</v>
      </c>
      <c r="L10" s="13" t="str">
        <f t="shared" si="5"/>
        <v>vihaan</v>
      </c>
      <c r="M10" s="13">
        <f t="shared" ca="1" si="6"/>
        <v>19</v>
      </c>
      <c r="N10" s="1"/>
      <c r="O10" s="1"/>
    </row>
    <row r="11" spans="1:20">
      <c r="A11" s="19">
        <v>10</v>
      </c>
      <c r="B11" s="20" t="s">
        <v>35</v>
      </c>
      <c r="C11" s="21" t="s">
        <v>36</v>
      </c>
      <c r="D11" s="22">
        <v>84</v>
      </c>
      <c r="E11" s="22">
        <v>87</v>
      </c>
      <c r="F11" s="23">
        <f t="shared" si="0"/>
        <v>85.5</v>
      </c>
      <c r="G11" s="24" t="str">
        <f t="array" ref="G11">IF(OR(D11&lt;35,E11&lt;35),"F",_xlfn.IFS(AVERAGE(D11:E11)&gt;90,"A",AVERAGE(D11:E11)&gt;75,"B",AVERAGE(D11:E11)&gt;60,"C",AVERAGE(D11:E11)&gt;50,"D",TRUE,"F"))</f>
        <v>B</v>
      </c>
      <c r="H11" s="19" t="str">
        <f t="shared" si="1"/>
        <v>YES</v>
      </c>
      <c r="I11" s="19">
        <f t="shared" si="2"/>
        <v>85.5</v>
      </c>
      <c r="J11" s="19" t="str">
        <f t="shared" si="3"/>
        <v>Riya</v>
      </c>
      <c r="K11" s="19" t="str">
        <f t="shared" si="4"/>
        <v>RIYA</v>
      </c>
      <c r="L11" s="19" t="str">
        <f t="shared" si="5"/>
        <v>riya</v>
      </c>
      <c r="M11" s="19">
        <f t="shared" ca="1" si="6"/>
        <v>18</v>
      </c>
      <c r="N11" s="1"/>
      <c r="O11" s="1"/>
    </row>
    <row r="14" spans="1:20" s="2" customFormat="1">
      <c r="A14" s="3" t="s">
        <v>37</v>
      </c>
      <c r="B14" s="3" t="s">
        <v>38</v>
      </c>
      <c r="C14" s="3" t="s">
        <v>39</v>
      </c>
    </row>
    <row r="15" spans="1:20">
      <c r="A15" s="4">
        <v>1</v>
      </c>
      <c r="B15" s="11" t="str">
        <f t="array" ref="B15:B18">_xlfn._xlws.FILTER(B2:B11, (F2:F11&gt;=80))</f>
        <v>Kabir Mehta</v>
      </c>
      <c r="C15" s="4">
        <f t="array" ref="C15:C18">_xlfn._xlws.FILTER(F2:F11, (F2:F11&gt;=80))</f>
        <v>91</v>
      </c>
    </row>
    <row r="16" spans="1:20">
      <c r="A16" s="4">
        <v>2</v>
      </c>
      <c r="B16" s="4" t="str">
        <v>Ananya Sharma</v>
      </c>
      <c r="C16" s="4">
        <v>90</v>
      </c>
    </row>
    <row r="17" spans="1:3">
      <c r="A17" s="4">
        <v>3</v>
      </c>
      <c r="B17" s="4" t="str">
        <v>Isha Verma</v>
      </c>
      <c r="C17" s="4">
        <v>96.5</v>
      </c>
    </row>
    <row r="18" spans="1:3">
      <c r="A18" s="4">
        <v>4</v>
      </c>
      <c r="B18" s="4" t="str">
        <v>Rohan Kapoor</v>
      </c>
      <c r="C18" s="4">
        <v>80</v>
      </c>
    </row>
    <row r="22" spans="1:3">
      <c r="B22" s="3" t="s">
        <v>13</v>
      </c>
      <c r="C22" s="4">
        <f>COUNTIF(D2:D11, "&gt;50")</f>
        <v>10</v>
      </c>
    </row>
    <row r="23" spans="1:3">
      <c r="B23" s="5"/>
    </row>
    <row r="24" spans="1:3">
      <c r="B24" s="3" t="s">
        <v>18</v>
      </c>
      <c r="C24" s="4">
        <v>10</v>
      </c>
    </row>
    <row r="25" spans="1:3">
      <c r="B25" s="3" t="s">
        <v>21</v>
      </c>
      <c r="C25" s="4">
        <v>2</v>
      </c>
    </row>
    <row r="26" spans="1:3">
      <c r="B26" s="3" t="s">
        <v>24</v>
      </c>
      <c r="C26" s="4" t="str">
        <f>VLOOKUP(C24,A2:H11, C25, FALSE)</f>
        <v>Riya Sen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"/>
  <sheetViews>
    <sheetView topLeftCell="F2" zoomScale="58" zoomScaleNormal="100" workbookViewId="0">
      <selection activeCell="N5" sqref="N5"/>
    </sheetView>
  </sheetViews>
  <sheetFormatPr defaultColWidth="12" defaultRowHeight="14.5"/>
  <cols>
    <col min="1" max="1" width="12" style="1" customWidth="1"/>
    <col min="2" max="2" width="12" customWidth="1"/>
    <col min="3" max="3" width="43" customWidth="1"/>
    <col min="4" max="4" width="16" style="1" bestFit="1" customWidth="1"/>
    <col min="5" max="5" width="19" style="1" bestFit="1" customWidth="1"/>
    <col min="6" max="6" width="12" style="1" customWidth="1"/>
    <col min="7" max="7" width="70" customWidth="1"/>
    <col min="8" max="8" width="12" customWidth="1"/>
    <col min="9" max="9" width="16" style="1" bestFit="1" customWidth="1"/>
    <col min="10" max="10" width="34" style="1" bestFit="1" customWidth="1"/>
    <col min="11" max="11" width="70" style="1" bestFit="1" customWidth="1"/>
    <col min="12" max="12" width="41" style="1" customWidth="1"/>
    <col min="13" max="13" width="22" style="1" customWidth="1"/>
    <col min="14" max="14" width="38" style="1" bestFit="1" customWidth="1"/>
    <col min="15" max="16" width="12" style="1" customWidth="1"/>
    <col min="17" max="16384" width="12" style="1"/>
  </cols>
  <sheetData>
    <row r="1" spans="1:16" s="2" customFormat="1" ht="28.75" customHeight="1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  <c r="J1" s="12" t="s">
        <v>49</v>
      </c>
      <c r="K1" s="12" t="s">
        <v>50</v>
      </c>
      <c r="L1" s="12" t="s">
        <v>51</v>
      </c>
      <c r="P1" s="7"/>
    </row>
    <row r="2" spans="1:16">
      <c r="A2" s="13">
        <v>1</v>
      </c>
      <c r="B2" s="18" t="s">
        <v>52</v>
      </c>
      <c r="C2" s="18" t="s">
        <v>53</v>
      </c>
      <c r="D2" s="13">
        <v>101</v>
      </c>
      <c r="E2" s="18" t="s">
        <v>54</v>
      </c>
      <c r="F2" s="18" t="s">
        <v>55</v>
      </c>
      <c r="G2" s="25">
        <v>60000</v>
      </c>
      <c r="H2" s="13">
        <v>5</v>
      </c>
      <c r="I2" s="26">
        <f t="shared" ref="I2:I11" si="0">G2*H2</f>
        <v>300000</v>
      </c>
      <c r="J2" s="27" t="s">
        <v>56</v>
      </c>
      <c r="K2" s="18" t="str">
        <f t="array" ref="K2">_xlfn.IFS(G2&gt;=50000, "15%", G2&gt;=25000, "10%", G2&gt;=10000, "5%", G2&gt;=5000, "2%", TRUE, "0%")</f>
        <v>15%</v>
      </c>
      <c r="L2" s="13" t="str">
        <f t="shared" ref="L2:L11" si="1">IF(OR(G2&gt;=5000,H2&gt;=50),"YES","NO")</f>
        <v>YES</v>
      </c>
    </row>
    <row r="3" spans="1:16">
      <c r="A3" s="19">
        <v>2</v>
      </c>
      <c r="B3" s="24" t="s">
        <v>57</v>
      </c>
      <c r="C3" s="24" t="s">
        <v>58</v>
      </c>
      <c r="D3" s="19">
        <v>102</v>
      </c>
      <c r="E3" s="24" t="s">
        <v>59</v>
      </c>
      <c r="F3" s="24" t="s">
        <v>55</v>
      </c>
      <c r="G3" s="28">
        <v>13000</v>
      </c>
      <c r="H3" s="19">
        <v>10</v>
      </c>
      <c r="I3" s="29">
        <f t="shared" si="0"/>
        <v>130000</v>
      </c>
      <c r="J3" s="30" t="s">
        <v>60</v>
      </c>
      <c r="K3" s="24" t="str">
        <f t="array" ref="K3">_xlfn.IFS(G3&gt;=50000, "15%", G3&gt;=25000, "10%", G3&gt;=10000, "5%", G3&gt;=5000, "2%", TRUE, "0%")</f>
        <v>5%</v>
      </c>
      <c r="L3" s="19" t="str">
        <f t="shared" si="1"/>
        <v>YES</v>
      </c>
    </row>
    <row r="4" spans="1:16">
      <c r="A4" s="13">
        <v>3</v>
      </c>
      <c r="B4" s="18" t="s">
        <v>52</v>
      </c>
      <c r="C4" s="18" t="s">
        <v>53</v>
      </c>
      <c r="D4" s="13">
        <v>101</v>
      </c>
      <c r="E4" s="18" t="s">
        <v>54</v>
      </c>
      <c r="F4" s="18" t="s">
        <v>61</v>
      </c>
      <c r="G4" s="25">
        <v>60000</v>
      </c>
      <c r="H4" s="13">
        <v>8</v>
      </c>
      <c r="I4" s="26">
        <f t="shared" si="0"/>
        <v>480000</v>
      </c>
      <c r="J4" s="31" t="s">
        <v>62</v>
      </c>
      <c r="K4" s="18" t="str">
        <f t="array" ref="K4">_xlfn.IFS(G4&gt;=50000, "15%", G4&gt;=25000, "10%", G4&gt;=10000, "5%", G4&gt;=5000, "2%", TRUE, "0%")</f>
        <v>15%</v>
      </c>
      <c r="L4" s="13" t="str">
        <f t="shared" si="1"/>
        <v>YES</v>
      </c>
    </row>
    <row r="5" spans="1:16">
      <c r="A5" s="19">
        <v>4</v>
      </c>
      <c r="B5" s="24" t="s">
        <v>63</v>
      </c>
      <c r="C5" s="24" t="s">
        <v>64</v>
      </c>
      <c r="D5" s="19">
        <v>103</v>
      </c>
      <c r="E5" s="24" t="s">
        <v>65</v>
      </c>
      <c r="F5" s="24" t="s">
        <v>61</v>
      </c>
      <c r="G5" s="28">
        <v>1800</v>
      </c>
      <c r="H5" s="19">
        <v>50</v>
      </c>
      <c r="I5" s="29">
        <f t="shared" si="0"/>
        <v>90000</v>
      </c>
      <c r="J5" s="30" t="s">
        <v>66</v>
      </c>
      <c r="K5" s="24" t="str">
        <f t="array" ref="K5">_xlfn.IFS(G5&gt;=50000, "15%", G5&gt;=25000, "10%", G5&gt;=10000, "5%", G5&gt;=5000, "2%", TRUE, "0%")</f>
        <v>0%</v>
      </c>
      <c r="L5" s="19" t="str">
        <f t="shared" si="1"/>
        <v>YES</v>
      </c>
    </row>
    <row r="6" spans="1:16">
      <c r="A6" s="13">
        <v>5</v>
      </c>
      <c r="B6" s="18" t="s">
        <v>67</v>
      </c>
      <c r="C6" s="18" t="s">
        <v>58</v>
      </c>
      <c r="D6" s="13">
        <v>102</v>
      </c>
      <c r="E6" s="18" t="s">
        <v>68</v>
      </c>
      <c r="F6" s="18" t="s">
        <v>69</v>
      </c>
      <c r="G6" s="25">
        <v>13000</v>
      </c>
      <c r="H6" s="13">
        <v>12</v>
      </c>
      <c r="I6" s="26">
        <f t="shared" si="0"/>
        <v>156000</v>
      </c>
      <c r="J6" s="31" t="s">
        <v>70</v>
      </c>
      <c r="K6" s="18" t="str">
        <f t="array" ref="K6">_xlfn.IFS(G6&gt;=50000, "15%", G6&gt;=25000, "10%", G6&gt;=10000, "5%", G6&gt;=5000, "2%", TRUE, "0%")</f>
        <v>5%</v>
      </c>
      <c r="L6" s="13" t="str">
        <f t="shared" si="1"/>
        <v>YES</v>
      </c>
    </row>
    <row r="7" spans="1:16">
      <c r="A7" s="19">
        <v>6</v>
      </c>
      <c r="B7" s="24" t="s">
        <v>57</v>
      </c>
      <c r="C7" s="24" t="s">
        <v>53</v>
      </c>
      <c r="D7" s="19">
        <v>101</v>
      </c>
      <c r="E7" s="24" t="s">
        <v>59</v>
      </c>
      <c r="F7" s="24" t="s">
        <v>69</v>
      </c>
      <c r="G7" s="28">
        <v>60000</v>
      </c>
      <c r="H7" s="19">
        <v>4</v>
      </c>
      <c r="I7" s="29">
        <f t="shared" si="0"/>
        <v>240000</v>
      </c>
      <c r="J7" s="32" t="s">
        <v>71</v>
      </c>
      <c r="K7" s="24" t="str">
        <f t="array" ref="K7">_xlfn.IFS(G7&gt;=50000, "15%", G7&gt;=25000, "10%", G7&gt;=10000, "5%", G7&gt;=5000, "2%", TRUE, "0%")</f>
        <v>15%</v>
      </c>
      <c r="L7" s="19" t="str">
        <f t="shared" si="1"/>
        <v>YES</v>
      </c>
    </row>
    <row r="8" spans="1:16">
      <c r="A8" s="13">
        <v>7</v>
      </c>
      <c r="B8" s="18" t="s">
        <v>52</v>
      </c>
      <c r="C8" s="18" t="s">
        <v>72</v>
      </c>
      <c r="D8" s="13">
        <v>104</v>
      </c>
      <c r="E8" s="18" t="s">
        <v>54</v>
      </c>
      <c r="F8" s="18" t="s">
        <v>73</v>
      </c>
      <c r="G8" s="25">
        <v>700</v>
      </c>
      <c r="H8" s="13">
        <v>85</v>
      </c>
      <c r="I8" s="26">
        <f t="shared" si="0"/>
        <v>59500</v>
      </c>
      <c r="J8" s="31" t="s">
        <v>74</v>
      </c>
      <c r="K8" s="18" t="str">
        <f t="array" ref="K8">_xlfn.IFS(G8&gt;=50000, "15%", G8&gt;=25000, "10%", G8&gt;=10000, "5%", G8&gt;=5000, "2%", TRUE, "0%")</f>
        <v>0%</v>
      </c>
      <c r="L8" s="13" t="str">
        <f t="shared" si="1"/>
        <v>YES</v>
      </c>
    </row>
    <row r="9" spans="1:16">
      <c r="A9" s="19">
        <v>8</v>
      </c>
      <c r="B9" s="24" t="s">
        <v>63</v>
      </c>
      <c r="C9" s="24" t="s">
        <v>58</v>
      </c>
      <c r="D9" s="19">
        <v>102</v>
      </c>
      <c r="E9" s="24" t="s">
        <v>65</v>
      </c>
      <c r="F9" s="24" t="s">
        <v>73</v>
      </c>
      <c r="G9" s="28">
        <v>9000</v>
      </c>
      <c r="H9" s="19">
        <v>14</v>
      </c>
      <c r="I9" s="29">
        <f t="shared" si="0"/>
        <v>126000</v>
      </c>
      <c r="J9" s="30" t="s">
        <v>75</v>
      </c>
      <c r="K9" s="24" t="str">
        <f t="array" ref="K9">_xlfn.IFS(G9&gt;=50000, "15%", G9&gt;=25000, "10%", G9&gt;=10000, "5%", G9&gt;=5000, "2%", TRUE, "0%")</f>
        <v>2%</v>
      </c>
      <c r="L9" s="19" t="str">
        <f t="shared" si="1"/>
        <v>YES</v>
      </c>
    </row>
    <row r="10" spans="1:16">
      <c r="A10" s="13">
        <v>9</v>
      </c>
      <c r="B10" s="18" t="s">
        <v>67</v>
      </c>
      <c r="C10" s="18" t="s">
        <v>64</v>
      </c>
      <c r="D10" s="13">
        <v>103</v>
      </c>
      <c r="E10" s="18" t="s">
        <v>68</v>
      </c>
      <c r="F10" s="18" t="s">
        <v>76</v>
      </c>
      <c r="G10" s="25">
        <v>1800</v>
      </c>
      <c r="H10" s="13">
        <v>35</v>
      </c>
      <c r="I10" s="26">
        <f t="shared" si="0"/>
        <v>63000</v>
      </c>
      <c r="J10" s="27" t="s">
        <v>77</v>
      </c>
      <c r="K10" s="18" t="str">
        <f t="array" ref="K10">_xlfn.IFS(G10&gt;=50000, "15%", G10&gt;=25000, "10%", G10&gt;=10000, "5%", G10&gt;=5000, "2%", TRUE, "0%")</f>
        <v>0%</v>
      </c>
      <c r="L10" s="13" t="str">
        <f t="shared" si="1"/>
        <v>NO</v>
      </c>
    </row>
    <row r="11" spans="1:16">
      <c r="A11" s="19">
        <v>10</v>
      </c>
      <c r="B11" s="24" t="s">
        <v>57</v>
      </c>
      <c r="C11" s="24" t="s">
        <v>72</v>
      </c>
      <c r="D11" s="19">
        <v>104</v>
      </c>
      <c r="E11" s="24" t="s">
        <v>59</v>
      </c>
      <c r="F11" s="24" t="s">
        <v>76</v>
      </c>
      <c r="G11" s="28">
        <v>700</v>
      </c>
      <c r="H11" s="19">
        <v>95</v>
      </c>
      <c r="I11" s="29">
        <f t="shared" si="0"/>
        <v>66500</v>
      </c>
      <c r="J11" s="33" t="s">
        <v>78</v>
      </c>
      <c r="K11" s="24" t="str">
        <f t="array" ref="K11">_xlfn.IFS(G11&gt;=50000, "15%", G11&gt;=25000, "10%", G11&gt;=10000, "5%", G11&gt;=5000, "2%", TRUE, "0%")</f>
        <v>0%</v>
      </c>
      <c r="L11" s="19" t="str">
        <f t="shared" si="1"/>
        <v>YES</v>
      </c>
    </row>
    <row r="14" spans="1:16" s="2" customFormat="1" ht="28.75" customHeight="1">
      <c r="A14" s="3" t="s">
        <v>41</v>
      </c>
      <c r="B14" s="3" t="s">
        <v>42</v>
      </c>
      <c r="C14" s="6" t="s">
        <v>79</v>
      </c>
      <c r="E14" s="3" t="s">
        <v>44</v>
      </c>
      <c r="F14" s="3" t="s">
        <v>45</v>
      </c>
      <c r="G14" s="3" t="s">
        <v>80</v>
      </c>
      <c r="I14" s="3" t="s">
        <v>42</v>
      </c>
      <c r="J14" s="3" t="s">
        <v>81</v>
      </c>
      <c r="M14" s="6" t="s">
        <v>82</v>
      </c>
      <c r="N14" s="3" t="s">
        <v>83</v>
      </c>
    </row>
    <row r="15" spans="1:16" ht="16.75" customHeight="1">
      <c r="A15" s="4" t="s">
        <v>63</v>
      </c>
      <c r="B15" s="4" t="s">
        <v>64</v>
      </c>
      <c r="C15" s="4">
        <f>SUMIFS(I2:I11,B2:B11, A15,C2:C11, B15)</f>
        <v>90000</v>
      </c>
      <c r="E15" s="4" t="s">
        <v>84</v>
      </c>
      <c r="F15" s="4" t="s">
        <v>55</v>
      </c>
      <c r="G15" s="4" t="e">
        <f t="array" ref="G15">INDEX(I2:I11, MATCH(1, (E2:E11=E15)*(F2:F11=F15), 0))</f>
        <v>#N/A</v>
      </c>
      <c r="I15" s="4" t="s">
        <v>64</v>
      </c>
      <c r="J15" s="4">
        <f>_xlfn.XMATCH(I15, C2:C11,0,1)</f>
        <v>4</v>
      </c>
      <c r="M15" s="4">
        <v>1</v>
      </c>
      <c r="N15" s="4">
        <f ca="1">SUM(OFFSET(I11,-(M15-1),0,M15,1))</f>
        <v>66500</v>
      </c>
    </row>
    <row r="17" spans="1:11" s="2" customFormat="1" ht="28.75" customHeight="1">
      <c r="A17" s="6" t="s">
        <v>85</v>
      </c>
      <c r="B17" s="3" t="s">
        <v>46</v>
      </c>
      <c r="E17" s="3" t="s">
        <v>44</v>
      </c>
      <c r="F17" s="3" t="s">
        <v>80</v>
      </c>
      <c r="I17" s="6" t="s">
        <v>86</v>
      </c>
      <c r="J17" s="6" t="s">
        <v>87</v>
      </c>
      <c r="K17" s="7"/>
    </row>
    <row r="18" spans="1:11">
      <c r="A18" s="4">
        <v>101</v>
      </c>
      <c r="B18" s="4">
        <f>VLOOKUP(A18, D2:G11, 4, FALSE)</f>
        <v>60000</v>
      </c>
      <c r="E18" s="4" t="s">
        <v>88</v>
      </c>
      <c r="F18" s="4" t="str">
        <f>_xlfn.XLOOKUP(E18, E2:E11, I2:I11, "-", 0, 1)</f>
        <v>-</v>
      </c>
      <c r="I18" s="4" t="s">
        <v>89</v>
      </c>
      <c r="J18" s="8">
        <f ca="1">SUM(INDIRECT(I18))</f>
        <v>1711000</v>
      </c>
      <c r="K18" s="9"/>
    </row>
  </sheetData>
  <dataValidations count="2">
    <dataValidation type="list" showInputMessage="1" showErrorMessage="1" sqref="A15 N2" xr:uid="{00000000-0002-0000-0100-000000000000}">
      <formula1>$B$5:$B$8</formula1>
    </dataValidation>
    <dataValidation type="list" showInputMessage="1" showErrorMessage="1" sqref="B15 I15 O2" xr:uid="{00000000-0002-0000-0100-000001000000}">
      <formula1>$C$7:$C$10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tabSelected="1" topLeftCell="A3" workbookViewId="0">
      <selection activeCell="G18" sqref="G18"/>
    </sheetView>
  </sheetViews>
  <sheetFormatPr defaultColWidth="8.90625" defaultRowHeight="14.5"/>
  <cols>
    <col min="1" max="1" width="17" style="1" bestFit="1" customWidth="1"/>
    <col min="2" max="2" width="40" style="1" bestFit="1" customWidth="1"/>
    <col min="3" max="3" width="14" style="1" bestFit="1" customWidth="1"/>
    <col min="4" max="4" width="15" style="1" bestFit="1" customWidth="1"/>
    <col min="5" max="5" width="50" style="1" bestFit="1" customWidth="1"/>
    <col min="6" max="6" width="18" style="1" bestFit="1" customWidth="1"/>
    <col min="7" max="7" width="33" style="1" bestFit="1" customWidth="1"/>
    <col min="8" max="8" width="31" style="1" bestFit="1" customWidth="1"/>
    <col min="9" max="9" width="8.90625" style="1" customWidth="1"/>
    <col min="10" max="16384" width="8.90625" style="1"/>
  </cols>
  <sheetData>
    <row r="1" spans="1:8" s="2" customFormat="1">
      <c r="A1" s="12" t="s">
        <v>90</v>
      </c>
      <c r="B1" s="12" t="s">
        <v>91</v>
      </c>
      <c r="C1" s="12" t="s">
        <v>92</v>
      </c>
      <c r="D1" s="12" t="s">
        <v>93</v>
      </c>
      <c r="E1" s="12" t="s">
        <v>94</v>
      </c>
      <c r="F1" s="12" t="s">
        <v>95</v>
      </c>
      <c r="G1" s="12" t="s">
        <v>96</v>
      </c>
      <c r="H1" s="12" t="s">
        <v>97</v>
      </c>
    </row>
    <row r="2" spans="1:8">
      <c r="A2" s="13">
        <v>1</v>
      </c>
      <c r="B2" s="18" t="s">
        <v>98</v>
      </c>
      <c r="C2" s="18" t="s">
        <v>80</v>
      </c>
      <c r="D2" s="34">
        <v>67000</v>
      </c>
      <c r="E2" s="31" t="s">
        <v>99</v>
      </c>
      <c r="F2" s="35">
        <f t="shared" ref="F2:F11" si="0">ROUND(D2, 0)</f>
        <v>67000</v>
      </c>
      <c r="G2" s="35">
        <f t="shared" ref="G2:G11" si="1">_xlfn.CEILING.MATH(D2, 100)</f>
        <v>67000</v>
      </c>
      <c r="H2" s="35">
        <f t="shared" ref="H2:H11" si="2">_xlfn.FLOOR.MATH(D2, 100)</f>
        <v>67000</v>
      </c>
    </row>
    <row r="3" spans="1:8">
      <c r="A3" s="19">
        <v>2</v>
      </c>
      <c r="B3" s="24" t="s">
        <v>100</v>
      </c>
      <c r="C3" s="24" t="s">
        <v>101</v>
      </c>
      <c r="D3" s="36">
        <v>56000</v>
      </c>
      <c r="E3" s="33" t="s">
        <v>102</v>
      </c>
      <c r="F3" s="37">
        <f t="shared" si="0"/>
        <v>56000</v>
      </c>
      <c r="G3" s="37">
        <f t="shared" si="1"/>
        <v>56000</v>
      </c>
      <c r="H3" s="37">
        <f t="shared" si="2"/>
        <v>56000</v>
      </c>
    </row>
    <row r="4" spans="1:8">
      <c r="A4" s="13">
        <v>3</v>
      </c>
      <c r="B4" s="18" t="s">
        <v>103</v>
      </c>
      <c r="C4" s="18" t="s">
        <v>104</v>
      </c>
      <c r="D4" s="34">
        <v>81000</v>
      </c>
      <c r="E4" s="31" t="s">
        <v>105</v>
      </c>
      <c r="F4" s="35">
        <f t="shared" si="0"/>
        <v>81000</v>
      </c>
      <c r="G4" s="35">
        <f t="shared" si="1"/>
        <v>81000</v>
      </c>
      <c r="H4" s="35">
        <f t="shared" si="2"/>
        <v>81000</v>
      </c>
    </row>
    <row r="5" spans="1:8">
      <c r="A5" s="19">
        <v>4</v>
      </c>
      <c r="B5" s="24" t="s">
        <v>106</v>
      </c>
      <c r="C5" s="24" t="s">
        <v>107</v>
      </c>
      <c r="D5" s="36">
        <v>48000</v>
      </c>
      <c r="E5" s="33" t="s">
        <v>108</v>
      </c>
      <c r="F5" s="37">
        <f t="shared" si="0"/>
        <v>48000</v>
      </c>
      <c r="G5" s="37">
        <f t="shared" si="1"/>
        <v>48000</v>
      </c>
      <c r="H5" s="37">
        <f t="shared" si="2"/>
        <v>48000</v>
      </c>
    </row>
    <row r="6" spans="1:8">
      <c r="A6" s="13">
        <v>5</v>
      </c>
      <c r="B6" s="18" t="s">
        <v>109</v>
      </c>
      <c r="C6" s="18" t="s">
        <v>110</v>
      </c>
      <c r="D6" s="34">
        <v>95000</v>
      </c>
      <c r="E6" s="31" t="s">
        <v>111</v>
      </c>
      <c r="F6" s="35">
        <f t="shared" si="0"/>
        <v>95000</v>
      </c>
      <c r="G6" s="35">
        <f t="shared" si="1"/>
        <v>95000</v>
      </c>
      <c r="H6" s="35">
        <f t="shared" si="2"/>
        <v>95000</v>
      </c>
    </row>
    <row r="7" spans="1:8">
      <c r="A7" s="19">
        <v>6</v>
      </c>
      <c r="B7" s="24" t="s">
        <v>112</v>
      </c>
      <c r="C7" s="24" t="s">
        <v>80</v>
      </c>
      <c r="D7" s="36">
        <v>70000</v>
      </c>
      <c r="E7" s="33" t="s">
        <v>113</v>
      </c>
      <c r="F7" s="37">
        <f t="shared" si="0"/>
        <v>70000</v>
      </c>
      <c r="G7" s="37">
        <f t="shared" si="1"/>
        <v>70000</v>
      </c>
      <c r="H7" s="37">
        <f t="shared" si="2"/>
        <v>70000</v>
      </c>
    </row>
    <row r="8" spans="1:8">
      <c r="A8" s="13">
        <v>7</v>
      </c>
      <c r="B8" s="18" t="s">
        <v>114</v>
      </c>
      <c r="C8" s="18" t="s">
        <v>110</v>
      </c>
      <c r="D8" s="34">
        <v>53000</v>
      </c>
      <c r="E8" s="31" t="s">
        <v>115</v>
      </c>
      <c r="F8" s="35">
        <f t="shared" si="0"/>
        <v>53000</v>
      </c>
      <c r="G8" s="35">
        <f t="shared" si="1"/>
        <v>53000</v>
      </c>
      <c r="H8" s="35">
        <f t="shared" si="2"/>
        <v>53000</v>
      </c>
    </row>
    <row r="9" spans="1:8">
      <c r="A9" s="19">
        <v>8</v>
      </c>
      <c r="B9" s="24" t="s">
        <v>116</v>
      </c>
      <c r="C9" s="24" t="s">
        <v>104</v>
      </c>
      <c r="D9" s="36">
        <v>98000</v>
      </c>
      <c r="E9" s="33" t="s">
        <v>117</v>
      </c>
      <c r="F9" s="37">
        <f t="shared" si="0"/>
        <v>98000</v>
      </c>
      <c r="G9" s="37">
        <f t="shared" si="1"/>
        <v>98000</v>
      </c>
      <c r="H9" s="37">
        <f t="shared" si="2"/>
        <v>98000</v>
      </c>
    </row>
    <row r="10" spans="1:8">
      <c r="A10" s="13">
        <v>9</v>
      </c>
      <c r="B10" s="18" t="s">
        <v>118</v>
      </c>
      <c r="C10" s="18" t="s">
        <v>110</v>
      </c>
      <c r="D10" s="34">
        <v>80000</v>
      </c>
      <c r="E10" s="31" t="s">
        <v>119</v>
      </c>
      <c r="F10" s="35">
        <f t="shared" si="0"/>
        <v>80000</v>
      </c>
      <c r="G10" s="35">
        <f t="shared" si="1"/>
        <v>80000</v>
      </c>
      <c r="H10" s="35">
        <f t="shared" si="2"/>
        <v>80000</v>
      </c>
    </row>
    <row r="11" spans="1:8">
      <c r="A11" s="19">
        <v>10</v>
      </c>
      <c r="B11" s="24" t="s">
        <v>120</v>
      </c>
      <c r="C11" s="24" t="s">
        <v>80</v>
      </c>
      <c r="D11" s="36">
        <v>71000</v>
      </c>
      <c r="E11" s="33" t="s">
        <v>121</v>
      </c>
      <c r="F11" s="37">
        <f t="shared" si="0"/>
        <v>71000</v>
      </c>
      <c r="G11" s="37">
        <f t="shared" si="1"/>
        <v>71000</v>
      </c>
      <c r="H11" s="37">
        <f t="shared" si="2"/>
        <v>71000</v>
      </c>
    </row>
    <row r="13" spans="1:8">
      <c r="A13" s="3" t="s">
        <v>90</v>
      </c>
      <c r="B13" s="4">
        <v>1</v>
      </c>
      <c r="D13" s="3" t="s">
        <v>90</v>
      </c>
      <c r="E13" s="4">
        <v>1</v>
      </c>
    </row>
    <row r="14" spans="1:8" s="2" customFormat="1" ht="28.75" customHeight="1">
      <c r="A14" s="6" t="s">
        <v>122</v>
      </c>
      <c r="B14" s="4" t="str">
        <f>INDEX(B2:B11,MATCH($B$13,A2:A11,0))</f>
        <v>Manish Agarwal</v>
      </c>
      <c r="D14" s="3" t="s">
        <v>93</v>
      </c>
      <c r="E14" s="10">
        <f>_xlfn.XLOOKUP(E13, A2:A11, D2:D11, "-", 0, 1)</f>
        <v>67000</v>
      </c>
    </row>
    <row r="15" spans="1:8">
      <c r="A15" s="3" t="s">
        <v>92</v>
      </c>
      <c r="B15" s="4" t="str">
        <f>INDEX(C2:C11,MATCH($B$13,A2:A11,0))</f>
        <v>Sales</v>
      </c>
    </row>
    <row r="16" spans="1:8">
      <c r="A16" s="3" t="s">
        <v>93</v>
      </c>
      <c r="B16" s="10">
        <f>INDEX(D2:D11,MATCH($B$13,A2:A11,0))</f>
        <v>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Sales Data</vt:lpstr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HP</cp:lastModifiedBy>
  <dcterms:created xsi:type="dcterms:W3CDTF">2026-08-29T09:02:49Z</dcterms:created>
  <dcterms:modified xsi:type="dcterms:W3CDTF">2026-09-02T13:22:19Z</dcterms:modified>
</cp:coreProperties>
</file>