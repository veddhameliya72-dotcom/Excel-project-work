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8BBF4709-4F48-4D1B-A505-5BB69ADAD06F}" xr6:coauthVersionLast="47" xr6:coauthVersionMax="47" xr10:uidLastSave="{00000000-0000-0000-0000-000000000000}"/>
  <bookViews>
    <workbookView xWindow="-110" yWindow="-110" windowWidth="19420" windowHeight="10300" tabRatio="500" activeTab="3" xr2:uid="{00000000-000D-0000-FFFF-FFFF00000000}"/>
  </bookViews>
  <sheets>
    <sheet name="Dashboard" sheetId="6" r:id="rId1"/>
    <sheet name="Dashboard Resources" sheetId="7" r:id="rId2"/>
    <sheet name="Raw_Data" sheetId="1" r:id="rId3"/>
    <sheet name="Data_Cleaning" sheetId="2" r:id="rId4"/>
    <sheet name="Analysis" sheetId="3" r:id="rId5"/>
    <sheet name="WhatIf" sheetId="4" r:id="rId6"/>
    <sheet name="PivotTables" sheetId="5" r:id="rId7"/>
  </sheets>
  <definedNames>
    <definedName name="Slicer_Customer_Segment">#N/A</definedName>
    <definedName name="Slicer_Product_Name">#N/A</definedName>
  </definedNames>
  <calcPr calcId="191029" iterateDelta="1E-4"/>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54" i="3" l="1" a="1"/>
  <c r="Y54" i="3" s="1"/>
  <c r="W37" i="3" a="1"/>
  <c r="W37" i="3" s="1"/>
  <c r="O36" i="3"/>
  <c r="P36" i="3" s="1"/>
  <c r="P35" i="3"/>
  <c r="O35" i="3"/>
  <c r="P34" i="3"/>
  <c r="O34" i="3"/>
  <c r="AA33" i="3" a="1"/>
  <c r="AA33" i="3" s="1"/>
  <c r="P33" i="3"/>
  <c r="O33" i="3"/>
  <c r="O32" i="3"/>
  <c r="P31" i="3"/>
  <c r="O31" i="3"/>
  <c r="O30" i="3"/>
  <c r="P29" i="3"/>
  <c r="O29" i="3"/>
  <c r="O28" i="3"/>
  <c r="P28" i="3" s="1"/>
  <c r="P27" i="3"/>
  <c r="O27" i="3"/>
  <c r="P26" i="3"/>
  <c r="O26" i="3"/>
  <c r="P25" i="3"/>
  <c r="O25" i="3"/>
  <c r="P24" i="3"/>
  <c r="O24" i="3"/>
  <c r="E23" i="3"/>
  <c r="W22" i="3" a="1"/>
  <c r="W22" i="3" s="1"/>
  <c r="AA21" i="3" a="1"/>
  <c r="AA21" i="3" s="1"/>
  <c r="Y20" i="3" a="1"/>
  <c r="Y20" i="3" s="1"/>
  <c r="C19" i="3"/>
  <c r="D19" i="3" s="1"/>
  <c r="F17" i="3"/>
  <c r="C16" i="3"/>
  <c r="D16" i="3" s="1"/>
  <c r="X15" i="3" a="1"/>
  <c r="X15" i="3" s="1"/>
  <c r="T15" i="3"/>
  <c r="T14" i="3"/>
  <c r="Y13" i="3" a="1"/>
  <c r="Y13" i="3" s="1"/>
  <c r="T13" i="3"/>
  <c r="R13" i="3"/>
  <c r="F13" i="3"/>
  <c r="T12" i="3"/>
  <c r="Z11" i="3" a="1"/>
  <c r="Z11" i="3" s="1"/>
  <c r="T11" i="3"/>
  <c r="T10" i="3"/>
  <c r="AA9" i="3" a="1"/>
  <c r="AA9" i="3" s="1"/>
  <c r="W9" i="3" a="1"/>
  <c r="W9" i="3" s="1"/>
  <c r="T9" i="3"/>
  <c r="J9" i="3"/>
  <c r="K9" i="3" s="1"/>
  <c r="B9" i="3"/>
  <c r="L9" i="3" s="1"/>
  <c r="T8" i="3"/>
  <c r="C8" i="3"/>
  <c r="D8" i="3" s="1"/>
  <c r="T7" i="3"/>
  <c r="B7" i="3"/>
  <c r="L7" i="3" s="1"/>
  <c r="T6" i="3"/>
  <c r="N251" i="2"/>
  <c r="M251" i="2"/>
  <c r="L251" i="2"/>
  <c r="K251" i="2"/>
  <c r="J251" i="2"/>
  <c r="I251" i="2"/>
  <c r="H251" i="2"/>
  <c r="G251" i="2"/>
  <c r="F251" i="2"/>
  <c r="E251" i="2"/>
  <c r="D251" i="2"/>
  <c r="C251" i="2"/>
  <c r="B251" i="2"/>
  <c r="A251" i="2"/>
  <c r="N250" i="2"/>
  <c r="M250" i="2"/>
  <c r="L250" i="2"/>
  <c r="K250" i="2"/>
  <c r="J250" i="2"/>
  <c r="I250" i="2"/>
  <c r="H250" i="2"/>
  <c r="G250" i="2"/>
  <c r="F250" i="2"/>
  <c r="E250" i="2"/>
  <c r="D250" i="2"/>
  <c r="C250" i="2"/>
  <c r="B250" i="2"/>
  <c r="A250" i="2"/>
  <c r="N249" i="2"/>
  <c r="M249" i="2"/>
  <c r="L249" i="2"/>
  <c r="K249" i="2"/>
  <c r="J249" i="2"/>
  <c r="I249" i="2"/>
  <c r="H249" i="2"/>
  <c r="G249" i="2"/>
  <c r="F249" i="2"/>
  <c r="E249" i="2"/>
  <c r="D249" i="2"/>
  <c r="C249" i="2"/>
  <c r="B249" i="2"/>
  <c r="A249" i="2"/>
  <c r="N248" i="2"/>
  <c r="M248" i="2"/>
  <c r="L248" i="2"/>
  <c r="K248" i="2"/>
  <c r="J248" i="2"/>
  <c r="I248" i="2"/>
  <c r="H248" i="2"/>
  <c r="G248" i="2"/>
  <c r="F248" i="2"/>
  <c r="E248" i="2"/>
  <c r="D248" i="2"/>
  <c r="C248" i="2"/>
  <c r="B248" i="2"/>
  <c r="A248" i="2"/>
  <c r="N247" i="2"/>
  <c r="M247" i="2"/>
  <c r="L247" i="2"/>
  <c r="K247" i="2"/>
  <c r="J247" i="2"/>
  <c r="I247" i="2"/>
  <c r="H247" i="2"/>
  <c r="G247" i="2"/>
  <c r="F247" i="2"/>
  <c r="E247" i="2"/>
  <c r="D247" i="2"/>
  <c r="C247" i="2"/>
  <c r="B247" i="2"/>
  <c r="A247" i="2"/>
  <c r="N246" i="2"/>
  <c r="M246" i="2"/>
  <c r="L246" i="2"/>
  <c r="K246" i="2"/>
  <c r="J246" i="2"/>
  <c r="I246" i="2"/>
  <c r="H246" i="2"/>
  <c r="G246" i="2"/>
  <c r="F246" i="2"/>
  <c r="E246" i="2"/>
  <c r="D246" i="2"/>
  <c r="C246" i="2"/>
  <c r="B246" i="2"/>
  <c r="A246" i="2"/>
  <c r="N245" i="2"/>
  <c r="M245" i="2"/>
  <c r="L245" i="2"/>
  <c r="K245" i="2"/>
  <c r="J245" i="2"/>
  <c r="I245" i="2"/>
  <c r="H245" i="2"/>
  <c r="G245" i="2"/>
  <c r="F245" i="2"/>
  <c r="E245" i="2"/>
  <c r="D245" i="2"/>
  <c r="C245" i="2"/>
  <c r="B245" i="2"/>
  <c r="A245" i="2"/>
  <c r="N244" i="2"/>
  <c r="M244" i="2"/>
  <c r="L244" i="2"/>
  <c r="K244" i="2"/>
  <c r="J244" i="2"/>
  <c r="I244" i="2"/>
  <c r="H244" i="2"/>
  <c r="G244" i="2"/>
  <c r="F244" i="2"/>
  <c r="E244" i="2"/>
  <c r="D244" i="2"/>
  <c r="C244" i="2"/>
  <c r="B244" i="2"/>
  <c r="A244" i="2"/>
  <c r="N243" i="2"/>
  <c r="M243" i="2"/>
  <c r="L243" i="2"/>
  <c r="K243" i="2"/>
  <c r="J243" i="2"/>
  <c r="I243" i="2"/>
  <c r="H243" i="2"/>
  <c r="G243" i="2"/>
  <c r="F243" i="2"/>
  <c r="E243" i="2"/>
  <c r="D243" i="2"/>
  <c r="C243" i="2"/>
  <c r="B243" i="2"/>
  <c r="A243" i="2"/>
  <c r="N242" i="2"/>
  <c r="M242" i="2"/>
  <c r="L242" i="2"/>
  <c r="K242" i="2"/>
  <c r="J242" i="2"/>
  <c r="I242" i="2"/>
  <c r="H242" i="2"/>
  <c r="G242" i="2"/>
  <c r="F242" i="2"/>
  <c r="E242" i="2"/>
  <c r="D242" i="2"/>
  <c r="C242" i="2"/>
  <c r="B242" i="2"/>
  <c r="A242" i="2"/>
  <c r="N241" i="2"/>
  <c r="M241" i="2"/>
  <c r="L241" i="2"/>
  <c r="K241" i="2"/>
  <c r="J241" i="2"/>
  <c r="I241" i="2"/>
  <c r="H241" i="2"/>
  <c r="G241" i="2"/>
  <c r="F241" i="2"/>
  <c r="E241" i="2"/>
  <c r="D241" i="2"/>
  <c r="C241" i="2"/>
  <c r="B241" i="2"/>
  <c r="A241" i="2"/>
  <c r="N240" i="2"/>
  <c r="M240" i="2"/>
  <c r="L240" i="2"/>
  <c r="K240" i="2"/>
  <c r="J240" i="2"/>
  <c r="I240" i="2"/>
  <c r="H240" i="2"/>
  <c r="G240" i="2"/>
  <c r="F240" i="2"/>
  <c r="E240" i="2"/>
  <c r="D240" i="2"/>
  <c r="C240" i="2"/>
  <c r="B240" i="2"/>
  <c r="A240" i="2"/>
  <c r="N239" i="2"/>
  <c r="M239" i="2"/>
  <c r="L239" i="2"/>
  <c r="K239" i="2"/>
  <c r="J239" i="2"/>
  <c r="I239" i="2"/>
  <c r="H239" i="2"/>
  <c r="G239" i="2"/>
  <c r="F239" i="2"/>
  <c r="E239" i="2"/>
  <c r="D239" i="2"/>
  <c r="C239" i="2"/>
  <c r="B239" i="2"/>
  <c r="A239" i="2"/>
  <c r="N238" i="2"/>
  <c r="M238" i="2"/>
  <c r="L238" i="2"/>
  <c r="K238" i="2"/>
  <c r="J238" i="2"/>
  <c r="I238" i="2"/>
  <c r="H238" i="2"/>
  <c r="G238" i="2"/>
  <c r="F238" i="2"/>
  <c r="E238" i="2"/>
  <c r="D238" i="2"/>
  <c r="C238" i="2"/>
  <c r="B238" i="2"/>
  <c r="A238" i="2"/>
  <c r="N237" i="2"/>
  <c r="M237" i="2"/>
  <c r="L237" i="2"/>
  <c r="K237" i="2"/>
  <c r="J237" i="2"/>
  <c r="I237" i="2"/>
  <c r="H237" i="2"/>
  <c r="G237" i="2"/>
  <c r="F237" i="2"/>
  <c r="E237" i="2"/>
  <c r="D237" i="2"/>
  <c r="C237" i="2"/>
  <c r="B237" i="2"/>
  <c r="A237" i="2"/>
  <c r="N236" i="2"/>
  <c r="M236" i="2"/>
  <c r="L236" i="2"/>
  <c r="K236" i="2"/>
  <c r="J236" i="2"/>
  <c r="I236" i="2"/>
  <c r="H236" i="2"/>
  <c r="G236" i="2"/>
  <c r="F236" i="2"/>
  <c r="E236" i="2"/>
  <c r="D236" i="2"/>
  <c r="C236" i="2"/>
  <c r="B236" i="2"/>
  <c r="A236" i="2"/>
  <c r="N235" i="2"/>
  <c r="M235" i="2"/>
  <c r="L235" i="2"/>
  <c r="K235" i="2"/>
  <c r="J235" i="2"/>
  <c r="I235" i="2"/>
  <c r="H235" i="2"/>
  <c r="G235" i="2"/>
  <c r="F235" i="2"/>
  <c r="E235" i="2"/>
  <c r="D235" i="2"/>
  <c r="C235" i="2"/>
  <c r="B235" i="2"/>
  <c r="A235" i="2"/>
  <c r="N234" i="2"/>
  <c r="M234" i="2"/>
  <c r="L234" i="2"/>
  <c r="K234" i="2"/>
  <c r="J234" i="2"/>
  <c r="I234" i="2"/>
  <c r="H234" i="2"/>
  <c r="G234" i="2"/>
  <c r="F234" i="2"/>
  <c r="E234" i="2"/>
  <c r="D234" i="2"/>
  <c r="C234" i="2"/>
  <c r="B234" i="2"/>
  <c r="A234" i="2"/>
  <c r="N233" i="2"/>
  <c r="M233" i="2"/>
  <c r="L233" i="2"/>
  <c r="K233" i="2"/>
  <c r="J233" i="2"/>
  <c r="I233" i="2"/>
  <c r="H233" i="2"/>
  <c r="G233" i="2"/>
  <c r="F233" i="2"/>
  <c r="E233" i="2"/>
  <c r="D233" i="2"/>
  <c r="C233" i="2"/>
  <c r="B233" i="2"/>
  <c r="A233" i="2"/>
  <c r="N232" i="2"/>
  <c r="M232" i="2"/>
  <c r="L232" i="2"/>
  <c r="K232" i="2"/>
  <c r="J232" i="2"/>
  <c r="I232" i="2"/>
  <c r="H232" i="2"/>
  <c r="G232" i="2"/>
  <c r="F232" i="2"/>
  <c r="E232" i="2"/>
  <c r="D232" i="2"/>
  <c r="C232" i="2"/>
  <c r="B232" i="2"/>
  <c r="A232" i="2"/>
  <c r="N231" i="2"/>
  <c r="M231" i="2"/>
  <c r="L231" i="2"/>
  <c r="K231" i="2"/>
  <c r="J231" i="2"/>
  <c r="I231" i="2"/>
  <c r="H231" i="2"/>
  <c r="G231" i="2"/>
  <c r="F231" i="2"/>
  <c r="E231" i="2"/>
  <c r="D231" i="2"/>
  <c r="C231" i="2"/>
  <c r="B231" i="2"/>
  <c r="A231" i="2"/>
  <c r="N230" i="2"/>
  <c r="M230" i="2"/>
  <c r="L230" i="2"/>
  <c r="K230" i="2"/>
  <c r="J230" i="2"/>
  <c r="I230" i="2"/>
  <c r="H230" i="2"/>
  <c r="G230" i="2"/>
  <c r="F230" i="2"/>
  <c r="E230" i="2"/>
  <c r="D230" i="2"/>
  <c r="C230" i="2"/>
  <c r="B230" i="2"/>
  <c r="A230" i="2"/>
  <c r="N229" i="2"/>
  <c r="M229" i="2"/>
  <c r="L229" i="2"/>
  <c r="K229" i="2"/>
  <c r="J229" i="2"/>
  <c r="I229" i="2"/>
  <c r="H229" i="2"/>
  <c r="G229" i="2"/>
  <c r="F229" i="2"/>
  <c r="E229" i="2"/>
  <c r="D229" i="2"/>
  <c r="C229" i="2"/>
  <c r="B229" i="2"/>
  <c r="A229" i="2"/>
  <c r="N228" i="2"/>
  <c r="M228" i="2"/>
  <c r="L228" i="2"/>
  <c r="K228" i="2"/>
  <c r="J228" i="2"/>
  <c r="I228" i="2"/>
  <c r="H228" i="2"/>
  <c r="G228" i="2"/>
  <c r="F228" i="2"/>
  <c r="E228" i="2"/>
  <c r="D228" i="2"/>
  <c r="C228" i="2"/>
  <c r="B228" i="2"/>
  <c r="A228" i="2"/>
  <c r="N227" i="2"/>
  <c r="M227" i="2"/>
  <c r="L227" i="2"/>
  <c r="K227" i="2"/>
  <c r="J227" i="2"/>
  <c r="I227" i="2"/>
  <c r="H227" i="2"/>
  <c r="G227" i="2"/>
  <c r="F227" i="2"/>
  <c r="E227" i="2"/>
  <c r="D227" i="2"/>
  <c r="C227" i="2"/>
  <c r="B227" i="2"/>
  <c r="A227" i="2"/>
  <c r="N226" i="2"/>
  <c r="M226" i="2"/>
  <c r="L226" i="2"/>
  <c r="K226" i="2"/>
  <c r="J226" i="2"/>
  <c r="I226" i="2"/>
  <c r="H226" i="2"/>
  <c r="G226" i="2"/>
  <c r="F226" i="2"/>
  <c r="E226" i="2"/>
  <c r="D226" i="2"/>
  <c r="C226" i="2"/>
  <c r="B226" i="2"/>
  <c r="A226" i="2"/>
  <c r="N225" i="2"/>
  <c r="M225" i="2"/>
  <c r="L225" i="2"/>
  <c r="K225" i="2"/>
  <c r="J225" i="2"/>
  <c r="I225" i="2"/>
  <c r="H225" i="2"/>
  <c r="G225" i="2"/>
  <c r="F225" i="2"/>
  <c r="E225" i="2"/>
  <c r="D225" i="2"/>
  <c r="C225" i="2"/>
  <c r="B225" i="2"/>
  <c r="A225" i="2"/>
  <c r="N224" i="2"/>
  <c r="M224" i="2"/>
  <c r="L224" i="2"/>
  <c r="K224" i="2"/>
  <c r="J224" i="2"/>
  <c r="I224" i="2"/>
  <c r="H224" i="2"/>
  <c r="G224" i="2"/>
  <c r="F224" i="2"/>
  <c r="E224" i="2"/>
  <c r="D224" i="2"/>
  <c r="C224" i="2"/>
  <c r="B224" i="2"/>
  <c r="A224" i="2"/>
  <c r="N223" i="2"/>
  <c r="M223" i="2"/>
  <c r="L223" i="2"/>
  <c r="K223" i="2"/>
  <c r="J223" i="2"/>
  <c r="I223" i="2"/>
  <c r="H223" i="2"/>
  <c r="G223" i="2"/>
  <c r="F223" i="2"/>
  <c r="E223" i="2"/>
  <c r="D223" i="2"/>
  <c r="C223" i="2"/>
  <c r="B223" i="2"/>
  <c r="A223" i="2"/>
  <c r="N222" i="2"/>
  <c r="M222" i="2"/>
  <c r="L222" i="2"/>
  <c r="K222" i="2"/>
  <c r="J222" i="2"/>
  <c r="I222" i="2"/>
  <c r="H222" i="2"/>
  <c r="G222" i="2"/>
  <c r="F222" i="2"/>
  <c r="E222" i="2"/>
  <c r="D222" i="2"/>
  <c r="C222" i="2"/>
  <c r="B222" i="2"/>
  <c r="A222" i="2"/>
  <c r="N221" i="2"/>
  <c r="M221" i="2"/>
  <c r="L221" i="2"/>
  <c r="K221" i="2"/>
  <c r="J221" i="2"/>
  <c r="I221" i="2"/>
  <c r="H221" i="2"/>
  <c r="G221" i="2"/>
  <c r="F221" i="2"/>
  <c r="E221" i="2"/>
  <c r="D221" i="2"/>
  <c r="C221" i="2"/>
  <c r="B221" i="2"/>
  <c r="A221" i="2"/>
  <c r="N220" i="2"/>
  <c r="M220" i="2"/>
  <c r="L220" i="2"/>
  <c r="K220" i="2"/>
  <c r="J220" i="2"/>
  <c r="I220" i="2"/>
  <c r="H220" i="2"/>
  <c r="G220" i="2"/>
  <c r="F220" i="2"/>
  <c r="E220" i="2"/>
  <c r="D220" i="2"/>
  <c r="C220" i="2"/>
  <c r="B220" i="2"/>
  <c r="A220" i="2"/>
  <c r="N219" i="2"/>
  <c r="M219" i="2"/>
  <c r="L219" i="2"/>
  <c r="K219" i="2"/>
  <c r="J219" i="2"/>
  <c r="I219" i="2"/>
  <c r="H219" i="2"/>
  <c r="G219" i="2"/>
  <c r="F219" i="2"/>
  <c r="E219" i="2"/>
  <c r="D219" i="2"/>
  <c r="C219" i="2"/>
  <c r="B219" i="2"/>
  <c r="A219" i="2"/>
  <c r="N218" i="2"/>
  <c r="M218" i="2"/>
  <c r="L218" i="2"/>
  <c r="K218" i="2"/>
  <c r="J218" i="2"/>
  <c r="I218" i="2"/>
  <c r="H218" i="2"/>
  <c r="G218" i="2"/>
  <c r="F218" i="2"/>
  <c r="E218" i="2"/>
  <c r="D218" i="2"/>
  <c r="C218" i="2"/>
  <c r="B218" i="2"/>
  <c r="A218" i="2"/>
  <c r="N217" i="2"/>
  <c r="M217" i="2"/>
  <c r="L217" i="2"/>
  <c r="K217" i="2"/>
  <c r="J217" i="2"/>
  <c r="I217" i="2"/>
  <c r="H217" i="2"/>
  <c r="G217" i="2"/>
  <c r="F217" i="2"/>
  <c r="E217" i="2"/>
  <c r="D217" i="2"/>
  <c r="C217" i="2"/>
  <c r="B217" i="2"/>
  <c r="A217" i="2"/>
  <c r="N216" i="2"/>
  <c r="M216" i="2"/>
  <c r="L216" i="2"/>
  <c r="K216" i="2"/>
  <c r="J216" i="2"/>
  <c r="I216" i="2"/>
  <c r="H216" i="2"/>
  <c r="G216" i="2"/>
  <c r="F216" i="2"/>
  <c r="E216" i="2"/>
  <c r="D216" i="2"/>
  <c r="C216" i="2"/>
  <c r="B216" i="2"/>
  <c r="A216" i="2"/>
  <c r="N215" i="2"/>
  <c r="M215" i="2"/>
  <c r="L215" i="2"/>
  <c r="K215" i="2"/>
  <c r="J215" i="2"/>
  <c r="I215" i="2"/>
  <c r="H215" i="2"/>
  <c r="G215" i="2"/>
  <c r="F215" i="2"/>
  <c r="E215" i="2"/>
  <c r="D215" i="2"/>
  <c r="C215" i="2"/>
  <c r="B215" i="2"/>
  <c r="A215" i="2"/>
  <c r="N214" i="2"/>
  <c r="M214" i="2"/>
  <c r="L214" i="2"/>
  <c r="K214" i="2"/>
  <c r="J214" i="2"/>
  <c r="I214" i="2"/>
  <c r="H214" i="2"/>
  <c r="G214" i="2"/>
  <c r="F214" i="2"/>
  <c r="E214" i="2"/>
  <c r="D214" i="2"/>
  <c r="C214" i="2"/>
  <c r="B214" i="2"/>
  <c r="A214" i="2"/>
  <c r="N213" i="2"/>
  <c r="M213" i="2"/>
  <c r="L213" i="2"/>
  <c r="K213" i="2"/>
  <c r="J213" i="2"/>
  <c r="I213" i="2"/>
  <c r="H213" i="2"/>
  <c r="G213" i="2"/>
  <c r="F213" i="2"/>
  <c r="E213" i="2"/>
  <c r="D213" i="2"/>
  <c r="C213" i="2"/>
  <c r="B213" i="2"/>
  <c r="A213" i="2"/>
  <c r="N212" i="2"/>
  <c r="M212" i="2"/>
  <c r="L212" i="2"/>
  <c r="K212" i="2"/>
  <c r="J212" i="2"/>
  <c r="I212" i="2"/>
  <c r="H212" i="2"/>
  <c r="G212" i="2"/>
  <c r="F212" i="2"/>
  <c r="E212" i="2"/>
  <c r="D212" i="2"/>
  <c r="C212" i="2"/>
  <c r="B212" i="2"/>
  <c r="A212" i="2"/>
  <c r="N211" i="2"/>
  <c r="M211" i="2"/>
  <c r="L211" i="2"/>
  <c r="K211" i="2"/>
  <c r="J211" i="2"/>
  <c r="I211" i="2"/>
  <c r="H211" i="2"/>
  <c r="G211" i="2"/>
  <c r="F211" i="2"/>
  <c r="E211" i="2"/>
  <c r="D211" i="2"/>
  <c r="C211" i="2"/>
  <c r="B211" i="2"/>
  <c r="A211" i="2"/>
  <c r="N210" i="2"/>
  <c r="M210" i="2"/>
  <c r="L210" i="2"/>
  <c r="K210" i="2"/>
  <c r="J210" i="2"/>
  <c r="I210" i="2"/>
  <c r="H210" i="2"/>
  <c r="G210" i="2"/>
  <c r="F210" i="2"/>
  <c r="E210" i="2"/>
  <c r="D210" i="2"/>
  <c r="C210" i="2"/>
  <c r="B210" i="2"/>
  <c r="A210" i="2"/>
  <c r="N209" i="2"/>
  <c r="M209" i="2"/>
  <c r="L209" i="2"/>
  <c r="K209" i="2"/>
  <c r="J209" i="2"/>
  <c r="I209" i="2"/>
  <c r="H209" i="2"/>
  <c r="G209" i="2"/>
  <c r="F209" i="2"/>
  <c r="E209" i="2"/>
  <c r="D209" i="2"/>
  <c r="C209" i="2"/>
  <c r="B209" i="2"/>
  <c r="A209" i="2"/>
  <c r="N208" i="2"/>
  <c r="M208" i="2"/>
  <c r="L208" i="2"/>
  <c r="K208" i="2"/>
  <c r="J208" i="2"/>
  <c r="I208" i="2"/>
  <c r="H208" i="2"/>
  <c r="G208" i="2"/>
  <c r="F208" i="2"/>
  <c r="E208" i="2"/>
  <c r="D208" i="2"/>
  <c r="C208" i="2"/>
  <c r="B208" i="2"/>
  <c r="A208" i="2"/>
  <c r="N207" i="2"/>
  <c r="M207" i="2"/>
  <c r="L207" i="2"/>
  <c r="K207" i="2"/>
  <c r="J207" i="2"/>
  <c r="I207" i="2"/>
  <c r="H207" i="2"/>
  <c r="G207" i="2"/>
  <c r="F207" i="2"/>
  <c r="E207" i="2"/>
  <c r="D207" i="2"/>
  <c r="C207" i="2"/>
  <c r="B207" i="2"/>
  <c r="A207" i="2"/>
  <c r="N206" i="2"/>
  <c r="M206" i="2"/>
  <c r="L206" i="2"/>
  <c r="K206" i="2"/>
  <c r="J206" i="2"/>
  <c r="I206" i="2"/>
  <c r="H206" i="2"/>
  <c r="G206" i="2"/>
  <c r="F206" i="2"/>
  <c r="E206" i="2"/>
  <c r="D206" i="2"/>
  <c r="C206" i="2"/>
  <c r="B206" i="2"/>
  <c r="A206" i="2"/>
  <c r="N205" i="2"/>
  <c r="M205" i="2"/>
  <c r="L205" i="2"/>
  <c r="K205" i="2"/>
  <c r="J205" i="2"/>
  <c r="I205" i="2"/>
  <c r="H205" i="2"/>
  <c r="G205" i="2"/>
  <c r="F205" i="2"/>
  <c r="E205" i="2"/>
  <c r="D205" i="2"/>
  <c r="C205" i="2"/>
  <c r="B205" i="2"/>
  <c r="A205" i="2"/>
  <c r="N204" i="2"/>
  <c r="M204" i="2"/>
  <c r="L204" i="2"/>
  <c r="K204" i="2"/>
  <c r="J204" i="2"/>
  <c r="I204" i="2"/>
  <c r="H204" i="2"/>
  <c r="G204" i="2"/>
  <c r="F204" i="2"/>
  <c r="E204" i="2"/>
  <c r="D204" i="2"/>
  <c r="C204" i="2"/>
  <c r="B204" i="2"/>
  <c r="A204" i="2"/>
  <c r="N203" i="2"/>
  <c r="M203" i="2"/>
  <c r="L203" i="2"/>
  <c r="K203" i="2"/>
  <c r="J203" i="2"/>
  <c r="I203" i="2"/>
  <c r="H203" i="2"/>
  <c r="G203" i="2"/>
  <c r="F203" i="2"/>
  <c r="E203" i="2"/>
  <c r="D203" i="2"/>
  <c r="C203" i="2"/>
  <c r="B203" i="2"/>
  <c r="A203" i="2"/>
  <c r="N202" i="2"/>
  <c r="M202" i="2"/>
  <c r="L202" i="2"/>
  <c r="K202" i="2"/>
  <c r="J202" i="2"/>
  <c r="I202" i="2"/>
  <c r="H202" i="2"/>
  <c r="G202" i="2"/>
  <c r="F202" i="2"/>
  <c r="E202" i="2"/>
  <c r="D202" i="2"/>
  <c r="C202" i="2"/>
  <c r="B202" i="2"/>
  <c r="A202" i="2"/>
  <c r="N201" i="2"/>
  <c r="M201" i="2"/>
  <c r="L201" i="2"/>
  <c r="K201" i="2"/>
  <c r="J201" i="2"/>
  <c r="I201" i="2"/>
  <c r="H201" i="2"/>
  <c r="G201" i="2"/>
  <c r="F201" i="2"/>
  <c r="E201" i="2"/>
  <c r="D201" i="2"/>
  <c r="C201" i="2"/>
  <c r="B201" i="2"/>
  <c r="A201" i="2"/>
  <c r="N200" i="2"/>
  <c r="M200" i="2"/>
  <c r="L200" i="2"/>
  <c r="K200" i="2"/>
  <c r="J200" i="2"/>
  <c r="I200" i="2"/>
  <c r="H200" i="2"/>
  <c r="G200" i="2"/>
  <c r="F200" i="2"/>
  <c r="E200" i="2"/>
  <c r="D200" i="2"/>
  <c r="C200" i="2"/>
  <c r="B200" i="2"/>
  <c r="A200" i="2"/>
  <c r="N199" i="2"/>
  <c r="M199" i="2"/>
  <c r="L199" i="2"/>
  <c r="K199" i="2"/>
  <c r="J199" i="2"/>
  <c r="I199" i="2"/>
  <c r="H199" i="2"/>
  <c r="G199" i="2"/>
  <c r="F199" i="2"/>
  <c r="E199" i="2"/>
  <c r="D199" i="2"/>
  <c r="C199" i="2"/>
  <c r="B199" i="2"/>
  <c r="A199" i="2"/>
  <c r="N198" i="2"/>
  <c r="M198" i="2"/>
  <c r="L198" i="2"/>
  <c r="K198" i="2"/>
  <c r="J198" i="2"/>
  <c r="I198" i="2"/>
  <c r="H198" i="2"/>
  <c r="G198" i="2"/>
  <c r="F198" i="2"/>
  <c r="E198" i="2"/>
  <c r="D198" i="2"/>
  <c r="C198" i="2"/>
  <c r="B198" i="2"/>
  <c r="A198" i="2"/>
  <c r="N197" i="2"/>
  <c r="M197" i="2"/>
  <c r="L197" i="2"/>
  <c r="K197" i="2"/>
  <c r="J197" i="2"/>
  <c r="I197" i="2"/>
  <c r="H197" i="2"/>
  <c r="G197" i="2"/>
  <c r="F197" i="2"/>
  <c r="E197" i="2"/>
  <c r="D197" i="2"/>
  <c r="C197" i="2"/>
  <c r="B197" i="2"/>
  <c r="A197" i="2"/>
  <c r="N196" i="2"/>
  <c r="M196" i="2"/>
  <c r="L196" i="2"/>
  <c r="K196" i="2"/>
  <c r="J196" i="2"/>
  <c r="I196" i="2"/>
  <c r="H196" i="2"/>
  <c r="G196" i="2"/>
  <c r="F196" i="2"/>
  <c r="E196" i="2"/>
  <c r="D196" i="2"/>
  <c r="C196" i="2"/>
  <c r="B196" i="2"/>
  <c r="A196" i="2"/>
  <c r="N195" i="2"/>
  <c r="M195" i="2"/>
  <c r="L195" i="2"/>
  <c r="K195" i="2"/>
  <c r="J195" i="2"/>
  <c r="I195" i="2"/>
  <c r="H195" i="2"/>
  <c r="G195" i="2"/>
  <c r="F195" i="2"/>
  <c r="E195" i="2"/>
  <c r="D195" i="2"/>
  <c r="C195" i="2"/>
  <c r="B195" i="2"/>
  <c r="A195" i="2"/>
  <c r="N194" i="2"/>
  <c r="M194" i="2"/>
  <c r="L194" i="2"/>
  <c r="K194" i="2"/>
  <c r="J194" i="2"/>
  <c r="I194" i="2"/>
  <c r="H194" i="2"/>
  <c r="G194" i="2"/>
  <c r="F194" i="2"/>
  <c r="E194" i="2"/>
  <c r="D194" i="2"/>
  <c r="C194" i="2"/>
  <c r="B194" i="2"/>
  <c r="A194" i="2"/>
  <c r="N193" i="2"/>
  <c r="M193" i="2"/>
  <c r="L193" i="2"/>
  <c r="K193" i="2"/>
  <c r="J193" i="2"/>
  <c r="I193" i="2"/>
  <c r="H193" i="2"/>
  <c r="G193" i="2"/>
  <c r="F193" i="2"/>
  <c r="E193" i="2"/>
  <c r="D193" i="2"/>
  <c r="C193" i="2"/>
  <c r="B193" i="2"/>
  <c r="A193" i="2"/>
  <c r="N192" i="2"/>
  <c r="M192" i="2"/>
  <c r="L192" i="2"/>
  <c r="K192" i="2"/>
  <c r="J192" i="2"/>
  <c r="I192" i="2"/>
  <c r="H192" i="2"/>
  <c r="G192" i="2"/>
  <c r="F192" i="2"/>
  <c r="E192" i="2"/>
  <c r="D192" i="2"/>
  <c r="C192" i="2"/>
  <c r="B192" i="2"/>
  <c r="A192" i="2"/>
  <c r="N191" i="2"/>
  <c r="M191" i="2"/>
  <c r="L191" i="2"/>
  <c r="K191" i="2"/>
  <c r="J191" i="2"/>
  <c r="I191" i="2"/>
  <c r="H191" i="2"/>
  <c r="G191" i="2"/>
  <c r="F191" i="2"/>
  <c r="E191" i="2"/>
  <c r="D191" i="2"/>
  <c r="C191" i="2"/>
  <c r="B191" i="2"/>
  <c r="A191" i="2"/>
  <c r="N190" i="2"/>
  <c r="M190" i="2"/>
  <c r="L190" i="2"/>
  <c r="K190" i="2"/>
  <c r="J190" i="2"/>
  <c r="I190" i="2"/>
  <c r="H190" i="2"/>
  <c r="G190" i="2"/>
  <c r="F190" i="2"/>
  <c r="E190" i="2"/>
  <c r="D190" i="2"/>
  <c r="C190" i="2"/>
  <c r="B190" i="2"/>
  <c r="A190" i="2"/>
  <c r="N189" i="2"/>
  <c r="M189" i="2"/>
  <c r="L189" i="2"/>
  <c r="K189" i="2"/>
  <c r="J189" i="2"/>
  <c r="I189" i="2"/>
  <c r="H189" i="2"/>
  <c r="G189" i="2"/>
  <c r="F189" i="2"/>
  <c r="E189" i="2"/>
  <c r="D189" i="2"/>
  <c r="C189" i="2"/>
  <c r="B189" i="2"/>
  <c r="A189" i="2"/>
  <c r="N188" i="2"/>
  <c r="M188" i="2"/>
  <c r="L188" i="2"/>
  <c r="K188" i="2"/>
  <c r="J188" i="2"/>
  <c r="I188" i="2"/>
  <c r="H188" i="2"/>
  <c r="G188" i="2"/>
  <c r="F188" i="2"/>
  <c r="E188" i="2"/>
  <c r="D188" i="2"/>
  <c r="C188" i="2"/>
  <c r="B188" i="2"/>
  <c r="A188" i="2"/>
  <c r="N187" i="2"/>
  <c r="M187" i="2"/>
  <c r="L187" i="2"/>
  <c r="K187" i="2"/>
  <c r="J187" i="2"/>
  <c r="I187" i="2"/>
  <c r="H187" i="2"/>
  <c r="G187" i="2"/>
  <c r="F187" i="2"/>
  <c r="E187" i="2"/>
  <c r="D187" i="2"/>
  <c r="C187" i="2"/>
  <c r="B187" i="2"/>
  <c r="A187" i="2"/>
  <c r="N186" i="2"/>
  <c r="M186" i="2"/>
  <c r="L186" i="2"/>
  <c r="K186" i="2"/>
  <c r="J186" i="2"/>
  <c r="I186" i="2"/>
  <c r="H186" i="2"/>
  <c r="G186" i="2"/>
  <c r="F186" i="2"/>
  <c r="E186" i="2"/>
  <c r="D186" i="2"/>
  <c r="C186" i="2"/>
  <c r="B186" i="2"/>
  <c r="A186" i="2"/>
  <c r="N185" i="2"/>
  <c r="M185" i="2"/>
  <c r="L185" i="2"/>
  <c r="K185" i="2"/>
  <c r="J185" i="2"/>
  <c r="I185" i="2"/>
  <c r="H185" i="2"/>
  <c r="G185" i="2"/>
  <c r="F185" i="2"/>
  <c r="E185" i="2"/>
  <c r="D185" i="2"/>
  <c r="C185" i="2"/>
  <c r="B185" i="2"/>
  <c r="A185" i="2"/>
  <c r="N184" i="2"/>
  <c r="M184" i="2"/>
  <c r="L184" i="2"/>
  <c r="K184" i="2"/>
  <c r="J184" i="2"/>
  <c r="I184" i="2"/>
  <c r="H184" i="2"/>
  <c r="G184" i="2"/>
  <c r="F184" i="2"/>
  <c r="E184" i="2"/>
  <c r="D184" i="2"/>
  <c r="C184" i="2"/>
  <c r="B184" i="2"/>
  <c r="A184" i="2"/>
  <c r="N183" i="2"/>
  <c r="M183" i="2"/>
  <c r="L183" i="2"/>
  <c r="K183" i="2"/>
  <c r="J183" i="2"/>
  <c r="I183" i="2"/>
  <c r="H183" i="2"/>
  <c r="G183" i="2"/>
  <c r="F183" i="2"/>
  <c r="E183" i="2"/>
  <c r="D183" i="2"/>
  <c r="C183" i="2"/>
  <c r="B183" i="2"/>
  <c r="A183" i="2"/>
  <c r="N182" i="2"/>
  <c r="M182" i="2"/>
  <c r="L182" i="2"/>
  <c r="K182" i="2"/>
  <c r="J182" i="2"/>
  <c r="I182" i="2"/>
  <c r="H182" i="2"/>
  <c r="G182" i="2"/>
  <c r="F182" i="2"/>
  <c r="E182" i="2"/>
  <c r="D182" i="2"/>
  <c r="C182" i="2"/>
  <c r="B182" i="2"/>
  <c r="A182" i="2"/>
  <c r="N181" i="2"/>
  <c r="M181" i="2"/>
  <c r="L181" i="2"/>
  <c r="K181" i="2"/>
  <c r="J181" i="2"/>
  <c r="I181" i="2"/>
  <c r="H181" i="2"/>
  <c r="G181" i="2"/>
  <c r="F181" i="2"/>
  <c r="E181" i="2"/>
  <c r="D181" i="2"/>
  <c r="C181" i="2"/>
  <c r="B181" i="2"/>
  <c r="A181" i="2"/>
  <c r="N180" i="2"/>
  <c r="M180" i="2"/>
  <c r="L180" i="2"/>
  <c r="K180" i="2"/>
  <c r="J180" i="2"/>
  <c r="I180" i="2"/>
  <c r="H180" i="2"/>
  <c r="G180" i="2"/>
  <c r="F180" i="2"/>
  <c r="E180" i="2"/>
  <c r="D180" i="2"/>
  <c r="C180" i="2"/>
  <c r="B180" i="2"/>
  <c r="A180" i="2"/>
  <c r="N179" i="2"/>
  <c r="M179" i="2"/>
  <c r="L179" i="2"/>
  <c r="K179" i="2"/>
  <c r="J179" i="2"/>
  <c r="I179" i="2"/>
  <c r="H179" i="2"/>
  <c r="G179" i="2"/>
  <c r="F179" i="2"/>
  <c r="E179" i="2"/>
  <c r="D179" i="2"/>
  <c r="C179" i="2"/>
  <c r="B179" i="2"/>
  <c r="A179" i="2"/>
  <c r="N178" i="2"/>
  <c r="M178" i="2"/>
  <c r="L178" i="2"/>
  <c r="K178" i="2"/>
  <c r="J178" i="2"/>
  <c r="I178" i="2"/>
  <c r="H178" i="2"/>
  <c r="G178" i="2"/>
  <c r="F178" i="2"/>
  <c r="E178" i="2"/>
  <c r="D178" i="2"/>
  <c r="C178" i="2"/>
  <c r="B178" i="2"/>
  <c r="A178" i="2"/>
  <c r="N177" i="2"/>
  <c r="M177" i="2"/>
  <c r="L177" i="2"/>
  <c r="K177" i="2"/>
  <c r="J177" i="2"/>
  <c r="I177" i="2"/>
  <c r="H177" i="2"/>
  <c r="G177" i="2"/>
  <c r="F177" i="2"/>
  <c r="E177" i="2"/>
  <c r="D177" i="2"/>
  <c r="C177" i="2"/>
  <c r="B177" i="2"/>
  <c r="A177" i="2"/>
  <c r="N176" i="2"/>
  <c r="M176" i="2"/>
  <c r="L176" i="2"/>
  <c r="K176" i="2"/>
  <c r="J176" i="2"/>
  <c r="I176" i="2"/>
  <c r="H176" i="2"/>
  <c r="G176" i="2"/>
  <c r="F176" i="2"/>
  <c r="E176" i="2"/>
  <c r="D176" i="2"/>
  <c r="C176" i="2"/>
  <c r="B176" i="2"/>
  <c r="A176" i="2"/>
  <c r="N175" i="2"/>
  <c r="M175" i="2"/>
  <c r="L175" i="2"/>
  <c r="K175" i="2"/>
  <c r="J175" i="2"/>
  <c r="I175" i="2"/>
  <c r="H175" i="2"/>
  <c r="G175" i="2"/>
  <c r="F175" i="2"/>
  <c r="E175" i="2"/>
  <c r="D175" i="2"/>
  <c r="C175" i="2"/>
  <c r="B175" i="2"/>
  <c r="A175" i="2"/>
  <c r="N174" i="2"/>
  <c r="M174" i="2"/>
  <c r="L174" i="2"/>
  <c r="K174" i="2"/>
  <c r="J174" i="2"/>
  <c r="I174" i="2"/>
  <c r="H174" i="2"/>
  <c r="G174" i="2"/>
  <c r="F174" i="2"/>
  <c r="E174" i="2"/>
  <c r="D174" i="2"/>
  <c r="C174" i="2"/>
  <c r="B174" i="2"/>
  <c r="A174" i="2"/>
  <c r="N173" i="2"/>
  <c r="M173" i="2"/>
  <c r="L173" i="2"/>
  <c r="K173" i="2"/>
  <c r="J173" i="2"/>
  <c r="I173" i="2"/>
  <c r="H173" i="2"/>
  <c r="G173" i="2"/>
  <c r="F173" i="2"/>
  <c r="E173" i="2"/>
  <c r="D173" i="2"/>
  <c r="C173" i="2"/>
  <c r="B173" i="2"/>
  <c r="A173" i="2"/>
  <c r="N172" i="2"/>
  <c r="M172" i="2"/>
  <c r="L172" i="2"/>
  <c r="K172" i="2"/>
  <c r="J172" i="2"/>
  <c r="I172" i="2"/>
  <c r="H172" i="2"/>
  <c r="G172" i="2"/>
  <c r="F172" i="2"/>
  <c r="E172" i="2"/>
  <c r="D172" i="2"/>
  <c r="C172" i="2"/>
  <c r="B172" i="2"/>
  <c r="A172" i="2"/>
  <c r="N171" i="2"/>
  <c r="M171" i="2"/>
  <c r="L171" i="2"/>
  <c r="K171" i="2"/>
  <c r="J171" i="2"/>
  <c r="I171" i="2"/>
  <c r="H171" i="2"/>
  <c r="G171" i="2"/>
  <c r="F171" i="2"/>
  <c r="E171" i="2"/>
  <c r="D171" i="2"/>
  <c r="C171" i="2"/>
  <c r="B171" i="2"/>
  <c r="A171" i="2"/>
  <c r="N170" i="2"/>
  <c r="M170" i="2"/>
  <c r="L170" i="2"/>
  <c r="K170" i="2"/>
  <c r="J170" i="2"/>
  <c r="I170" i="2"/>
  <c r="H170" i="2"/>
  <c r="G170" i="2"/>
  <c r="F170" i="2"/>
  <c r="E170" i="2"/>
  <c r="D170" i="2"/>
  <c r="C170" i="2"/>
  <c r="B170" i="2"/>
  <c r="A170" i="2"/>
  <c r="N169" i="2"/>
  <c r="M169" i="2"/>
  <c r="L169" i="2"/>
  <c r="K169" i="2"/>
  <c r="J169" i="2"/>
  <c r="I169" i="2"/>
  <c r="H169" i="2"/>
  <c r="G169" i="2"/>
  <c r="F169" i="2"/>
  <c r="E169" i="2"/>
  <c r="D169" i="2"/>
  <c r="C169" i="2"/>
  <c r="B169" i="2"/>
  <c r="A169" i="2"/>
  <c r="N168" i="2"/>
  <c r="M168" i="2"/>
  <c r="L168" i="2"/>
  <c r="K168" i="2"/>
  <c r="J168" i="2"/>
  <c r="I168" i="2"/>
  <c r="H168" i="2"/>
  <c r="G168" i="2"/>
  <c r="F168" i="2"/>
  <c r="E168" i="2"/>
  <c r="D168" i="2"/>
  <c r="C168" i="2"/>
  <c r="B168" i="2"/>
  <c r="A168" i="2"/>
  <c r="N167" i="2"/>
  <c r="M167" i="2"/>
  <c r="L167" i="2"/>
  <c r="K167" i="2"/>
  <c r="J167" i="2"/>
  <c r="I167" i="2"/>
  <c r="H167" i="2"/>
  <c r="G167" i="2"/>
  <c r="F167" i="2"/>
  <c r="E167" i="2"/>
  <c r="D167" i="2"/>
  <c r="C167" i="2"/>
  <c r="B167" i="2"/>
  <c r="A167" i="2"/>
  <c r="N166" i="2"/>
  <c r="M166" i="2"/>
  <c r="L166" i="2"/>
  <c r="K166" i="2"/>
  <c r="J166" i="2"/>
  <c r="I166" i="2"/>
  <c r="H166" i="2"/>
  <c r="G166" i="2"/>
  <c r="F166" i="2"/>
  <c r="E166" i="2"/>
  <c r="D166" i="2"/>
  <c r="C166" i="2"/>
  <c r="B166" i="2"/>
  <c r="A166" i="2"/>
  <c r="N165" i="2"/>
  <c r="M165" i="2"/>
  <c r="L165" i="2"/>
  <c r="K165" i="2"/>
  <c r="J165" i="2"/>
  <c r="I165" i="2"/>
  <c r="H165" i="2"/>
  <c r="G165" i="2"/>
  <c r="F165" i="2"/>
  <c r="E165" i="2"/>
  <c r="D165" i="2"/>
  <c r="C165" i="2"/>
  <c r="B165" i="2"/>
  <c r="A165" i="2"/>
  <c r="N164" i="2"/>
  <c r="M164" i="2"/>
  <c r="L164" i="2"/>
  <c r="K164" i="2"/>
  <c r="J164" i="2"/>
  <c r="I164" i="2"/>
  <c r="H164" i="2"/>
  <c r="G164" i="2"/>
  <c r="F164" i="2"/>
  <c r="E164" i="2"/>
  <c r="D164" i="2"/>
  <c r="C164" i="2"/>
  <c r="B164" i="2"/>
  <c r="A164" i="2"/>
  <c r="N163" i="2"/>
  <c r="M163" i="2"/>
  <c r="L163" i="2"/>
  <c r="K163" i="2"/>
  <c r="J163" i="2"/>
  <c r="I163" i="2"/>
  <c r="H163" i="2"/>
  <c r="G163" i="2"/>
  <c r="F163" i="2"/>
  <c r="E163" i="2"/>
  <c r="D163" i="2"/>
  <c r="C163" i="2"/>
  <c r="B163" i="2"/>
  <c r="A163" i="2"/>
  <c r="N162" i="2"/>
  <c r="M162" i="2"/>
  <c r="L162" i="2"/>
  <c r="K162" i="2"/>
  <c r="J162" i="2"/>
  <c r="I162" i="2"/>
  <c r="H162" i="2"/>
  <c r="G162" i="2"/>
  <c r="F162" i="2"/>
  <c r="E162" i="2"/>
  <c r="D162" i="2"/>
  <c r="C162" i="2"/>
  <c r="B162" i="2"/>
  <c r="A162" i="2"/>
  <c r="N161" i="2"/>
  <c r="M161" i="2"/>
  <c r="L161" i="2"/>
  <c r="K161" i="2"/>
  <c r="J161" i="2"/>
  <c r="I161" i="2"/>
  <c r="H161" i="2"/>
  <c r="G161" i="2"/>
  <c r="F161" i="2"/>
  <c r="E161" i="2"/>
  <c r="D161" i="2"/>
  <c r="C161" i="2"/>
  <c r="B161" i="2"/>
  <c r="A161" i="2"/>
  <c r="N160" i="2"/>
  <c r="M160" i="2"/>
  <c r="L160" i="2"/>
  <c r="K160" i="2"/>
  <c r="J160" i="2"/>
  <c r="I160" i="2"/>
  <c r="H160" i="2"/>
  <c r="G160" i="2"/>
  <c r="F160" i="2"/>
  <c r="E160" i="2"/>
  <c r="D160" i="2"/>
  <c r="C160" i="2"/>
  <c r="B160" i="2"/>
  <c r="A160" i="2"/>
  <c r="N159" i="2"/>
  <c r="M159" i="2"/>
  <c r="L159" i="2"/>
  <c r="K159" i="2"/>
  <c r="J159" i="2"/>
  <c r="I159" i="2"/>
  <c r="H159" i="2"/>
  <c r="G159" i="2"/>
  <c r="F159" i="2"/>
  <c r="E159" i="2"/>
  <c r="D159" i="2"/>
  <c r="C159" i="2"/>
  <c r="B159" i="2"/>
  <c r="A159" i="2"/>
  <c r="N158" i="2"/>
  <c r="M158" i="2"/>
  <c r="L158" i="2"/>
  <c r="K158" i="2"/>
  <c r="J158" i="2"/>
  <c r="I158" i="2"/>
  <c r="H158" i="2"/>
  <c r="G158" i="2"/>
  <c r="F158" i="2"/>
  <c r="E158" i="2"/>
  <c r="D158" i="2"/>
  <c r="C158" i="2"/>
  <c r="B158" i="2"/>
  <c r="A158" i="2"/>
  <c r="N157" i="2"/>
  <c r="M157" i="2"/>
  <c r="L157" i="2"/>
  <c r="K157" i="2"/>
  <c r="J157" i="2"/>
  <c r="I157" i="2"/>
  <c r="H157" i="2"/>
  <c r="G157" i="2"/>
  <c r="F157" i="2"/>
  <c r="E157" i="2"/>
  <c r="D157" i="2"/>
  <c r="C157" i="2"/>
  <c r="B157" i="2"/>
  <c r="A157" i="2"/>
  <c r="N156" i="2"/>
  <c r="M156" i="2"/>
  <c r="L156" i="2"/>
  <c r="K156" i="2"/>
  <c r="J156" i="2"/>
  <c r="I156" i="2"/>
  <c r="H156" i="2"/>
  <c r="G156" i="2"/>
  <c r="F156" i="2"/>
  <c r="E156" i="2"/>
  <c r="D156" i="2"/>
  <c r="C156" i="2"/>
  <c r="B156" i="2"/>
  <c r="A156" i="2"/>
  <c r="N155" i="2"/>
  <c r="M155" i="2"/>
  <c r="L155" i="2"/>
  <c r="K155" i="2"/>
  <c r="J155" i="2"/>
  <c r="I155" i="2"/>
  <c r="H155" i="2"/>
  <c r="G155" i="2"/>
  <c r="F155" i="2"/>
  <c r="E155" i="2"/>
  <c r="D155" i="2"/>
  <c r="C155" i="2"/>
  <c r="B155" i="2"/>
  <c r="A155" i="2"/>
  <c r="N154" i="2"/>
  <c r="M154" i="2"/>
  <c r="L154" i="2"/>
  <c r="K154" i="2"/>
  <c r="J154" i="2"/>
  <c r="I154" i="2"/>
  <c r="H154" i="2"/>
  <c r="G154" i="2"/>
  <c r="F154" i="2"/>
  <c r="E154" i="2"/>
  <c r="D154" i="2"/>
  <c r="C154" i="2"/>
  <c r="B154" i="2"/>
  <c r="A154" i="2"/>
  <c r="N153" i="2"/>
  <c r="M153" i="2"/>
  <c r="L153" i="2"/>
  <c r="K153" i="2"/>
  <c r="J153" i="2"/>
  <c r="I153" i="2"/>
  <c r="H153" i="2"/>
  <c r="G153" i="2"/>
  <c r="F153" i="2"/>
  <c r="E153" i="2"/>
  <c r="D153" i="2"/>
  <c r="C153" i="2"/>
  <c r="B153" i="2"/>
  <c r="A153" i="2"/>
  <c r="N152" i="2"/>
  <c r="M152" i="2"/>
  <c r="L152" i="2"/>
  <c r="K152" i="2"/>
  <c r="J152" i="2"/>
  <c r="I152" i="2"/>
  <c r="H152" i="2"/>
  <c r="G152" i="2"/>
  <c r="F152" i="2"/>
  <c r="E152" i="2"/>
  <c r="D152" i="2"/>
  <c r="C152" i="2"/>
  <c r="B152" i="2"/>
  <c r="A152" i="2"/>
  <c r="N151" i="2"/>
  <c r="M151" i="2"/>
  <c r="L151" i="2"/>
  <c r="K151" i="2"/>
  <c r="J151" i="2"/>
  <c r="I151" i="2"/>
  <c r="H151" i="2"/>
  <c r="G151" i="2"/>
  <c r="F151" i="2"/>
  <c r="E151" i="2"/>
  <c r="D151" i="2"/>
  <c r="C151" i="2"/>
  <c r="B151" i="2"/>
  <c r="A151" i="2"/>
  <c r="N150" i="2"/>
  <c r="M150" i="2"/>
  <c r="L150" i="2"/>
  <c r="K150" i="2"/>
  <c r="J150" i="2"/>
  <c r="I150" i="2"/>
  <c r="H150" i="2"/>
  <c r="G150" i="2"/>
  <c r="F150" i="2"/>
  <c r="E150" i="2"/>
  <c r="D150" i="2"/>
  <c r="C150" i="2"/>
  <c r="B150" i="2"/>
  <c r="A150" i="2"/>
  <c r="N149" i="2"/>
  <c r="M149" i="2"/>
  <c r="L149" i="2"/>
  <c r="K149" i="2"/>
  <c r="J149" i="2"/>
  <c r="I149" i="2"/>
  <c r="H149" i="2"/>
  <c r="G149" i="2"/>
  <c r="F149" i="2"/>
  <c r="E149" i="2"/>
  <c r="D149" i="2"/>
  <c r="C149" i="2"/>
  <c r="B149" i="2"/>
  <c r="A149" i="2"/>
  <c r="N148" i="2"/>
  <c r="M148" i="2"/>
  <c r="L148" i="2"/>
  <c r="K148" i="2"/>
  <c r="J148" i="2"/>
  <c r="I148" i="2"/>
  <c r="H148" i="2"/>
  <c r="G148" i="2"/>
  <c r="F148" i="2"/>
  <c r="E148" i="2"/>
  <c r="D148" i="2"/>
  <c r="C148" i="2"/>
  <c r="B148" i="2"/>
  <c r="A148" i="2"/>
  <c r="N147" i="2"/>
  <c r="M147" i="2"/>
  <c r="L147" i="2"/>
  <c r="K147" i="2"/>
  <c r="J147" i="2"/>
  <c r="I147" i="2"/>
  <c r="H147" i="2"/>
  <c r="G147" i="2"/>
  <c r="F147" i="2"/>
  <c r="E147" i="2"/>
  <c r="D147" i="2"/>
  <c r="C147" i="2"/>
  <c r="B147" i="2"/>
  <c r="A147" i="2"/>
  <c r="N146" i="2"/>
  <c r="M146" i="2"/>
  <c r="L146" i="2"/>
  <c r="K146" i="2"/>
  <c r="J146" i="2"/>
  <c r="I146" i="2"/>
  <c r="H146" i="2"/>
  <c r="G146" i="2"/>
  <c r="F146" i="2"/>
  <c r="E146" i="2"/>
  <c r="D146" i="2"/>
  <c r="C146" i="2"/>
  <c r="B146" i="2"/>
  <c r="A146" i="2"/>
  <c r="N145" i="2"/>
  <c r="M145" i="2"/>
  <c r="L145" i="2"/>
  <c r="K145" i="2"/>
  <c r="J145" i="2"/>
  <c r="I145" i="2"/>
  <c r="H145" i="2"/>
  <c r="G145" i="2"/>
  <c r="F145" i="2"/>
  <c r="E145" i="2"/>
  <c r="D145" i="2"/>
  <c r="C145" i="2"/>
  <c r="B145" i="2"/>
  <c r="A145" i="2"/>
  <c r="N144" i="2"/>
  <c r="M144" i="2"/>
  <c r="L144" i="2"/>
  <c r="K144" i="2"/>
  <c r="J144" i="2"/>
  <c r="I144" i="2"/>
  <c r="H144" i="2"/>
  <c r="G144" i="2"/>
  <c r="F144" i="2"/>
  <c r="E144" i="2"/>
  <c r="D144" i="2"/>
  <c r="C144" i="2"/>
  <c r="B144" i="2"/>
  <c r="A144" i="2"/>
  <c r="N143" i="2"/>
  <c r="M143" i="2"/>
  <c r="L143" i="2"/>
  <c r="K143" i="2"/>
  <c r="J143" i="2"/>
  <c r="I143" i="2"/>
  <c r="H143" i="2"/>
  <c r="G143" i="2"/>
  <c r="F143" i="2"/>
  <c r="E143" i="2"/>
  <c r="D143" i="2"/>
  <c r="C143" i="2"/>
  <c r="B143" i="2"/>
  <c r="A143" i="2"/>
  <c r="N142" i="2"/>
  <c r="M142" i="2"/>
  <c r="L142" i="2"/>
  <c r="K142" i="2"/>
  <c r="J142" i="2"/>
  <c r="I142" i="2"/>
  <c r="H142" i="2"/>
  <c r="G142" i="2"/>
  <c r="F142" i="2"/>
  <c r="E142" i="2"/>
  <c r="D142" i="2"/>
  <c r="C142" i="2"/>
  <c r="B142" i="2"/>
  <c r="A142" i="2"/>
  <c r="N141" i="2"/>
  <c r="M141" i="2"/>
  <c r="L141" i="2"/>
  <c r="K141" i="2"/>
  <c r="J141" i="2"/>
  <c r="I141" i="2"/>
  <c r="H141" i="2"/>
  <c r="G141" i="2"/>
  <c r="F141" i="2"/>
  <c r="E141" i="2"/>
  <c r="D141" i="2"/>
  <c r="C141" i="2"/>
  <c r="B141" i="2"/>
  <c r="A141" i="2"/>
  <c r="N140" i="2"/>
  <c r="M140" i="2"/>
  <c r="L140" i="2"/>
  <c r="K140" i="2"/>
  <c r="J140" i="2"/>
  <c r="I140" i="2"/>
  <c r="H140" i="2"/>
  <c r="G140" i="2"/>
  <c r="F140" i="2"/>
  <c r="E140" i="2"/>
  <c r="D140" i="2"/>
  <c r="C140" i="2"/>
  <c r="B140" i="2"/>
  <c r="A140" i="2"/>
  <c r="N139" i="2"/>
  <c r="M139" i="2"/>
  <c r="L139" i="2"/>
  <c r="K139" i="2"/>
  <c r="J139" i="2"/>
  <c r="I139" i="2"/>
  <c r="H139" i="2"/>
  <c r="G139" i="2"/>
  <c r="F139" i="2"/>
  <c r="E139" i="2"/>
  <c r="D139" i="2"/>
  <c r="C139" i="2"/>
  <c r="B139" i="2"/>
  <c r="A139" i="2"/>
  <c r="N138" i="2"/>
  <c r="M138" i="2"/>
  <c r="L138" i="2"/>
  <c r="K138" i="2"/>
  <c r="J138" i="2"/>
  <c r="I138" i="2"/>
  <c r="H138" i="2"/>
  <c r="G138" i="2"/>
  <c r="F138" i="2"/>
  <c r="E138" i="2"/>
  <c r="D138" i="2"/>
  <c r="C138" i="2"/>
  <c r="B138" i="2"/>
  <c r="A138" i="2"/>
  <c r="N137" i="2"/>
  <c r="M137" i="2"/>
  <c r="L137" i="2"/>
  <c r="K137" i="2"/>
  <c r="J137" i="2"/>
  <c r="I137" i="2"/>
  <c r="H137" i="2"/>
  <c r="G137" i="2"/>
  <c r="F137" i="2"/>
  <c r="E137" i="2"/>
  <c r="D137" i="2"/>
  <c r="C137" i="2"/>
  <c r="B137" i="2"/>
  <c r="A137" i="2"/>
  <c r="N136" i="2"/>
  <c r="M136" i="2"/>
  <c r="L136" i="2"/>
  <c r="K136" i="2"/>
  <c r="J136" i="2"/>
  <c r="I136" i="2"/>
  <c r="H136" i="2"/>
  <c r="G136" i="2"/>
  <c r="F136" i="2"/>
  <c r="E136" i="2"/>
  <c r="D136" i="2"/>
  <c r="C136" i="2"/>
  <c r="B136" i="2"/>
  <c r="A136" i="2"/>
  <c r="N135" i="2"/>
  <c r="M135" i="2"/>
  <c r="L135" i="2"/>
  <c r="K135" i="2"/>
  <c r="J135" i="2"/>
  <c r="I135" i="2"/>
  <c r="H135" i="2"/>
  <c r="G135" i="2"/>
  <c r="F135" i="2"/>
  <c r="E135" i="2"/>
  <c r="D135" i="2"/>
  <c r="C135" i="2"/>
  <c r="B135" i="2"/>
  <c r="A135" i="2"/>
  <c r="N134" i="2"/>
  <c r="M134" i="2"/>
  <c r="L134" i="2"/>
  <c r="K134" i="2"/>
  <c r="J134" i="2"/>
  <c r="I134" i="2"/>
  <c r="H134" i="2"/>
  <c r="G134" i="2"/>
  <c r="F134" i="2"/>
  <c r="E134" i="2"/>
  <c r="D134" i="2"/>
  <c r="C134" i="2"/>
  <c r="B134" i="2"/>
  <c r="A134" i="2"/>
  <c r="N133" i="2"/>
  <c r="M133" i="2"/>
  <c r="L133" i="2"/>
  <c r="K133" i="2"/>
  <c r="J133" i="2"/>
  <c r="I133" i="2"/>
  <c r="H133" i="2"/>
  <c r="G133" i="2"/>
  <c r="F133" i="2"/>
  <c r="E133" i="2"/>
  <c r="D133" i="2"/>
  <c r="C133" i="2"/>
  <c r="B133" i="2"/>
  <c r="A133" i="2"/>
  <c r="N132" i="2"/>
  <c r="M132" i="2"/>
  <c r="L132" i="2"/>
  <c r="K132" i="2"/>
  <c r="J132" i="2"/>
  <c r="I132" i="2"/>
  <c r="H132" i="2"/>
  <c r="G132" i="2"/>
  <c r="F132" i="2"/>
  <c r="E132" i="2"/>
  <c r="D132" i="2"/>
  <c r="C132" i="2"/>
  <c r="B132" i="2"/>
  <c r="A132" i="2"/>
  <c r="N131" i="2"/>
  <c r="M131" i="2"/>
  <c r="L131" i="2"/>
  <c r="K131" i="2"/>
  <c r="J131" i="2"/>
  <c r="I131" i="2"/>
  <c r="H131" i="2"/>
  <c r="G131" i="2"/>
  <c r="F131" i="2"/>
  <c r="E131" i="2"/>
  <c r="D131" i="2"/>
  <c r="C131" i="2"/>
  <c r="B131" i="2"/>
  <c r="A131" i="2"/>
  <c r="N130" i="2"/>
  <c r="M130" i="2"/>
  <c r="L130" i="2"/>
  <c r="K130" i="2"/>
  <c r="J130" i="2"/>
  <c r="I130" i="2"/>
  <c r="H130" i="2"/>
  <c r="G130" i="2"/>
  <c r="F130" i="2"/>
  <c r="E130" i="2"/>
  <c r="D130" i="2"/>
  <c r="C130" i="2"/>
  <c r="B130" i="2"/>
  <c r="A130" i="2"/>
  <c r="N129" i="2"/>
  <c r="M129" i="2"/>
  <c r="L129" i="2"/>
  <c r="K129" i="2"/>
  <c r="J129" i="2"/>
  <c r="I129" i="2"/>
  <c r="H129" i="2"/>
  <c r="G129" i="2"/>
  <c r="F129" i="2"/>
  <c r="E129" i="2"/>
  <c r="D129" i="2"/>
  <c r="C129" i="2"/>
  <c r="B129" i="2"/>
  <c r="A129" i="2"/>
  <c r="N128" i="2"/>
  <c r="M128" i="2"/>
  <c r="L128" i="2"/>
  <c r="K128" i="2"/>
  <c r="J128" i="2"/>
  <c r="I128" i="2"/>
  <c r="H128" i="2"/>
  <c r="G128" i="2"/>
  <c r="F128" i="2"/>
  <c r="E128" i="2"/>
  <c r="D128" i="2"/>
  <c r="C128" i="2"/>
  <c r="B128" i="2"/>
  <c r="A128" i="2"/>
  <c r="N127" i="2"/>
  <c r="M127" i="2"/>
  <c r="L127" i="2"/>
  <c r="K127" i="2"/>
  <c r="J127" i="2"/>
  <c r="I127" i="2"/>
  <c r="H127" i="2"/>
  <c r="G127" i="2"/>
  <c r="F127" i="2"/>
  <c r="E127" i="2"/>
  <c r="D127" i="2"/>
  <c r="C127" i="2"/>
  <c r="B127" i="2"/>
  <c r="A127" i="2"/>
  <c r="N126" i="2"/>
  <c r="M126" i="2"/>
  <c r="L126" i="2"/>
  <c r="K126" i="2"/>
  <c r="J126" i="2"/>
  <c r="I126" i="2"/>
  <c r="H126" i="2"/>
  <c r="G126" i="2"/>
  <c r="F126" i="2"/>
  <c r="E126" i="2"/>
  <c r="D126" i="2"/>
  <c r="C126" i="2"/>
  <c r="B126" i="2"/>
  <c r="A126" i="2"/>
  <c r="N125" i="2"/>
  <c r="M125" i="2"/>
  <c r="L125" i="2"/>
  <c r="K125" i="2"/>
  <c r="J125" i="2"/>
  <c r="I125" i="2"/>
  <c r="H125" i="2"/>
  <c r="G125" i="2"/>
  <c r="F125" i="2"/>
  <c r="E125" i="2"/>
  <c r="D125" i="2"/>
  <c r="C125" i="2"/>
  <c r="B125" i="2"/>
  <c r="A125" i="2"/>
  <c r="N124" i="2"/>
  <c r="M124" i="2"/>
  <c r="L124" i="2"/>
  <c r="K124" i="2"/>
  <c r="J124" i="2"/>
  <c r="I124" i="2"/>
  <c r="H124" i="2"/>
  <c r="G124" i="2"/>
  <c r="F124" i="2"/>
  <c r="E124" i="2"/>
  <c r="D124" i="2"/>
  <c r="C124" i="2"/>
  <c r="B124" i="2"/>
  <c r="A124" i="2"/>
  <c r="N123" i="2"/>
  <c r="M123" i="2"/>
  <c r="L123" i="2"/>
  <c r="K123" i="2"/>
  <c r="J123" i="2"/>
  <c r="I123" i="2"/>
  <c r="H123" i="2"/>
  <c r="G123" i="2"/>
  <c r="F123" i="2"/>
  <c r="E123" i="2"/>
  <c r="D123" i="2"/>
  <c r="C123" i="2"/>
  <c r="B123" i="2"/>
  <c r="A123" i="2"/>
  <c r="N122" i="2"/>
  <c r="M122" i="2"/>
  <c r="L122" i="2"/>
  <c r="K122" i="2"/>
  <c r="J122" i="2"/>
  <c r="I122" i="2"/>
  <c r="H122" i="2"/>
  <c r="G122" i="2"/>
  <c r="F122" i="2"/>
  <c r="E122" i="2"/>
  <c r="D122" i="2"/>
  <c r="C122" i="2"/>
  <c r="B122" i="2"/>
  <c r="A122" i="2"/>
  <c r="N121" i="2"/>
  <c r="M121" i="2"/>
  <c r="L121" i="2"/>
  <c r="K121" i="2"/>
  <c r="J121" i="2"/>
  <c r="I121" i="2"/>
  <c r="H121" i="2"/>
  <c r="G121" i="2"/>
  <c r="F121" i="2"/>
  <c r="E121" i="2"/>
  <c r="D121" i="2"/>
  <c r="C121" i="2"/>
  <c r="B121" i="2"/>
  <c r="A121" i="2"/>
  <c r="N120" i="2"/>
  <c r="M120" i="2"/>
  <c r="L120" i="2"/>
  <c r="K120" i="2"/>
  <c r="J120" i="2"/>
  <c r="I120" i="2"/>
  <c r="H120" i="2"/>
  <c r="G120" i="2"/>
  <c r="F120" i="2"/>
  <c r="E120" i="2"/>
  <c r="D120" i="2"/>
  <c r="C120" i="2"/>
  <c r="B120" i="2"/>
  <c r="A120" i="2"/>
  <c r="N119" i="2"/>
  <c r="M119" i="2"/>
  <c r="L119" i="2"/>
  <c r="K119" i="2"/>
  <c r="J119" i="2"/>
  <c r="I119" i="2"/>
  <c r="H119" i="2"/>
  <c r="G119" i="2"/>
  <c r="F119" i="2"/>
  <c r="E119" i="2"/>
  <c r="D119" i="2"/>
  <c r="C119" i="2"/>
  <c r="B119" i="2"/>
  <c r="A119" i="2"/>
  <c r="N118" i="2"/>
  <c r="M118" i="2"/>
  <c r="L118" i="2"/>
  <c r="K118" i="2"/>
  <c r="J118" i="2"/>
  <c r="I118" i="2"/>
  <c r="H118" i="2"/>
  <c r="G118" i="2"/>
  <c r="F118" i="2"/>
  <c r="E118" i="2"/>
  <c r="D118" i="2"/>
  <c r="C118" i="2"/>
  <c r="B118" i="2"/>
  <c r="A118" i="2"/>
  <c r="N117" i="2"/>
  <c r="M117" i="2"/>
  <c r="L117" i="2"/>
  <c r="K117" i="2"/>
  <c r="J117" i="2"/>
  <c r="I117" i="2"/>
  <c r="H117" i="2"/>
  <c r="G117" i="2"/>
  <c r="F117" i="2"/>
  <c r="E117" i="2"/>
  <c r="D117" i="2"/>
  <c r="C117" i="2"/>
  <c r="B117" i="2"/>
  <c r="A117" i="2"/>
  <c r="N116" i="2"/>
  <c r="E14" i="3" s="1"/>
  <c r="M116" i="2"/>
  <c r="L116" i="2"/>
  <c r="K116" i="2"/>
  <c r="J116" i="2"/>
  <c r="I116" i="2"/>
  <c r="H116" i="2"/>
  <c r="G116" i="2"/>
  <c r="F116" i="2"/>
  <c r="E116" i="2"/>
  <c r="D116" i="2"/>
  <c r="C116" i="2"/>
  <c r="B116" i="2"/>
  <c r="A116" i="2"/>
  <c r="N115" i="2"/>
  <c r="M115" i="2"/>
  <c r="L115" i="2"/>
  <c r="K115" i="2"/>
  <c r="J115" i="2"/>
  <c r="I115" i="2"/>
  <c r="H115" i="2"/>
  <c r="G115" i="2"/>
  <c r="F115" i="2"/>
  <c r="E115" i="2"/>
  <c r="D115" i="2"/>
  <c r="C115" i="2"/>
  <c r="B115" i="2"/>
  <c r="A115" i="2"/>
  <c r="N114" i="2"/>
  <c r="M114" i="2"/>
  <c r="L114" i="2"/>
  <c r="K114" i="2"/>
  <c r="J114" i="2"/>
  <c r="I114" i="2"/>
  <c r="H114" i="2"/>
  <c r="G114" i="2"/>
  <c r="F114" i="2"/>
  <c r="E114" i="2"/>
  <c r="D114" i="2"/>
  <c r="C114" i="2"/>
  <c r="B114" i="2"/>
  <c r="A114" i="2"/>
  <c r="N113" i="2"/>
  <c r="M113" i="2"/>
  <c r="L113" i="2"/>
  <c r="K113" i="2"/>
  <c r="J113" i="2"/>
  <c r="I113" i="2"/>
  <c r="H113" i="2"/>
  <c r="G113" i="2"/>
  <c r="F113" i="2"/>
  <c r="E113" i="2"/>
  <c r="D113" i="2"/>
  <c r="C113" i="2"/>
  <c r="B113" i="2"/>
  <c r="A113" i="2"/>
  <c r="N112" i="2"/>
  <c r="M112" i="2"/>
  <c r="L112" i="2"/>
  <c r="K112" i="2"/>
  <c r="J112" i="2"/>
  <c r="I112" i="2"/>
  <c r="H112" i="2"/>
  <c r="G112" i="2"/>
  <c r="F112" i="2"/>
  <c r="E112" i="2"/>
  <c r="D112" i="2"/>
  <c r="C112" i="2"/>
  <c r="B112" i="2"/>
  <c r="A112" i="2"/>
  <c r="N111" i="2"/>
  <c r="M111" i="2"/>
  <c r="L111" i="2"/>
  <c r="K111" i="2"/>
  <c r="J111" i="2"/>
  <c r="I111" i="2"/>
  <c r="H111" i="2"/>
  <c r="G111" i="2"/>
  <c r="F111" i="2"/>
  <c r="E111" i="2"/>
  <c r="D111" i="2"/>
  <c r="C111" i="2"/>
  <c r="B111" i="2"/>
  <c r="A111" i="2"/>
  <c r="N110" i="2"/>
  <c r="M110" i="2"/>
  <c r="L110" i="2"/>
  <c r="K110" i="2"/>
  <c r="J110" i="2"/>
  <c r="I110" i="2"/>
  <c r="H110" i="2"/>
  <c r="G110" i="2"/>
  <c r="F110" i="2"/>
  <c r="E110" i="2"/>
  <c r="D110" i="2"/>
  <c r="C110" i="2"/>
  <c r="B110" i="2"/>
  <c r="A110" i="2"/>
  <c r="N109" i="2"/>
  <c r="M109" i="2"/>
  <c r="L109" i="2"/>
  <c r="K109" i="2"/>
  <c r="J109" i="2"/>
  <c r="I109" i="2"/>
  <c r="H109" i="2"/>
  <c r="G109" i="2"/>
  <c r="F109" i="2"/>
  <c r="E109" i="2"/>
  <c r="D109" i="2"/>
  <c r="C109" i="2"/>
  <c r="B109" i="2"/>
  <c r="A109" i="2"/>
  <c r="N108" i="2"/>
  <c r="M108" i="2"/>
  <c r="L108" i="2"/>
  <c r="K108" i="2"/>
  <c r="J108" i="2"/>
  <c r="I108" i="2"/>
  <c r="H108" i="2"/>
  <c r="G108" i="2"/>
  <c r="F108" i="2"/>
  <c r="E108" i="2"/>
  <c r="D108" i="2"/>
  <c r="C108" i="2"/>
  <c r="B108" i="2"/>
  <c r="A108" i="2"/>
  <c r="N107" i="2"/>
  <c r="M107" i="2"/>
  <c r="L107" i="2"/>
  <c r="K107" i="2"/>
  <c r="J107" i="2"/>
  <c r="I107" i="2"/>
  <c r="H107" i="2"/>
  <c r="G107" i="2"/>
  <c r="F107" i="2"/>
  <c r="E107" i="2"/>
  <c r="D107" i="2"/>
  <c r="C107" i="2"/>
  <c r="B107" i="2"/>
  <c r="A107" i="2"/>
  <c r="N106" i="2"/>
  <c r="M106" i="2"/>
  <c r="L106" i="2"/>
  <c r="K106" i="2"/>
  <c r="J106" i="2"/>
  <c r="I106" i="2"/>
  <c r="H106" i="2"/>
  <c r="G106" i="2"/>
  <c r="F106" i="2"/>
  <c r="E106" i="2"/>
  <c r="D106" i="2"/>
  <c r="C106" i="2"/>
  <c r="B106" i="2"/>
  <c r="A106" i="2"/>
  <c r="N105" i="2"/>
  <c r="M105" i="2"/>
  <c r="L105" i="2"/>
  <c r="K105" i="2"/>
  <c r="J105" i="2"/>
  <c r="I105" i="2"/>
  <c r="H105" i="2"/>
  <c r="G105" i="2"/>
  <c r="F105" i="2"/>
  <c r="E105" i="2"/>
  <c r="D105" i="2"/>
  <c r="C105" i="2"/>
  <c r="B105" i="2"/>
  <c r="A105" i="2"/>
  <c r="N104" i="2"/>
  <c r="M104" i="2"/>
  <c r="L104" i="2"/>
  <c r="K104" i="2"/>
  <c r="J104" i="2"/>
  <c r="I104" i="2"/>
  <c r="H104" i="2"/>
  <c r="G104" i="2"/>
  <c r="F104" i="2"/>
  <c r="E104" i="2"/>
  <c r="D104" i="2"/>
  <c r="C104" i="2"/>
  <c r="B104" i="2"/>
  <c r="A104" i="2"/>
  <c r="N103" i="2"/>
  <c r="M103" i="2"/>
  <c r="L103" i="2"/>
  <c r="K103" i="2"/>
  <c r="J103" i="2"/>
  <c r="I103" i="2"/>
  <c r="H103" i="2"/>
  <c r="G103" i="2"/>
  <c r="F103" i="2"/>
  <c r="E103" i="2"/>
  <c r="D103" i="2"/>
  <c r="C103" i="2"/>
  <c r="B103" i="2"/>
  <c r="A103" i="2"/>
  <c r="N102" i="2"/>
  <c r="M102" i="2"/>
  <c r="L102" i="2"/>
  <c r="K102" i="2"/>
  <c r="J102" i="2"/>
  <c r="I102" i="2"/>
  <c r="H102" i="2"/>
  <c r="G102" i="2"/>
  <c r="F102" i="2"/>
  <c r="E102" i="2"/>
  <c r="D102" i="2"/>
  <c r="C102" i="2"/>
  <c r="B102" i="2"/>
  <c r="A102" i="2"/>
  <c r="N101" i="2"/>
  <c r="M101" i="2"/>
  <c r="L101" i="2"/>
  <c r="K101" i="2"/>
  <c r="J101" i="2"/>
  <c r="I101" i="2"/>
  <c r="H101" i="2"/>
  <c r="G101" i="2"/>
  <c r="F101" i="2"/>
  <c r="E101" i="2"/>
  <c r="D101" i="2"/>
  <c r="C101" i="2"/>
  <c r="B101" i="2"/>
  <c r="A101" i="2"/>
  <c r="N100" i="2"/>
  <c r="M100" i="2"/>
  <c r="L100" i="2"/>
  <c r="K100" i="2"/>
  <c r="J100" i="2"/>
  <c r="I100" i="2"/>
  <c r="H100" i="2"/>
  <c r="G100" i="2"/>
  <c r="F100" i="2"/>
  <c r="E100" i="2"/>
  <c r="D100" i="2"/>
  <c r="C100" i="2"/>
  <c r="B100" i="2"/>
  <c r="A100" i="2"/>
  <c r="N99" i="2"/>
  <c r="M99" i="2"/>
  <c r="L99" i="2"/>
  <c r="K99" i="2"/>
  <c r="J99" i="2"/>
  <c r="I99" i="2"/>
  <c r="H99" i="2"/>
  <c r="G99" i="2"/>
  <c r="F99" i="2"/>
  <c r="E99" i="2"/>
  <c r="D99" i="2"/>
  <c r="C99" i="2"/>
  <c r="B99" i="2"/>
  <c r="A99" i="2"/>
  <c r="N98" i="2"/>
  <c r="M98" i="2"/>
  <c r="L98" i="2"/>
  <c r="K98" i="2"/>
  <c r="J98" i="2"/>
  <c r="I98" i="2"/>
  <c r="H98" i="2"/>
  <c r="G98" i="2"/>
  <c r="F98" i="2"/>
  <c r="E98" i="2"/>
  <c r="D98" i="2"/>
  <c r="C98" i="2"/>
  <c r="B98" i="2"/>
  <c r="A98" i="2"/>
  <c r="N97" i="2"/>
  <c r="M97" i="2"/>
  <c r="L97" i="2"/>
  <c r="K97" i="2"/>
  <c r="J97" i="2"/>
  <c r="I97" i="2"/>
  <c r="H97" i="2"/>
  <c r="G97" i="2"/>
  <c r="F97" i="2"/>
  <c r="E97" i="2"/>
  <c r="D97" i="2"/>
  <c r="C97" i="2"/>
  <c r="B97" i="2"/>
  <c r="A97" i="2"/>
  <c r="N96" i="2"/>
  <c r="M96" i="2"/>
  <c r="L96" i="2"/>
  <c r="K96" i="2"/>
  <c r="J96" i="2"/>
  <c r="I96" i="2"/>
  <c r="H96" i="2"/>
  <c r="G96" i="2"/>
  <c r="F96" i="2"/>
  <c r="E96" i="2"/>
  <c r="D96" i="2"/>
  <c r="C96" i="2"/>
  <c r="B96" i="2"/>
  <c r="A96" i="2"/>
  <c r="N95" i="2"/>
  <c r="M95" i="2"/>
  <c r="L95" i="2"/>
  <c r="K95" i="2"/>
  <c r="J95" i="2"/>
  <c r="I95" i="2"/>
  <c r="H95" i="2"/>
  <c r="G95" i="2"/>
  <c r="F95" i="2"/>
  <c r="E95" i="2"/>
  <c r="D95" i="2"/>
  <c r="C95" i="2"/>
  <c r="B95" i="2"/>
  <c r="A95" i="2"/>
  <c r="N94" i="2"/>
  <c r="M94" i="2"/>
  <c r="L94" i="2"/>
  <c r="K94" i="2"/>
  <c r="J94" i="2"/>
  <c r="I94" i="2"/>
  <c r="H94" i="2"/>
  <c r="G94" i="2"/>
  <c r="F94" i="2"/>
  <c r="E94" i="2"/>
  <c r="D94" i="2"/>
  <c r="C94" i="2"/>
  <c r="B94" i="2"/>
  <c r="A94" i="2"/>
  <c r="N93" i="2"/>
  <c r="M93" i="2"/>
  <c r="L93" i="2"/>
  <c r="K93" i="2"/>
  <c r="J93" i="2"/>
  <c r="I93" i="2"/>
  <c r="H93" i="2"/>
  <c r="G93" i="2"/>
  <c r="F93" i="2"/>
  <c r="E93" i="2"/>
  <c r="D93" i="2"/>
  <c r="C93" i="2"/>
  <c r="B93" i="2"/>
  <c r="A93" i="2"/>
  <c r="N92" i="2"/>
  <c r="M92" i="2"/>
  <c r="L92" i="2"/>
  <c r="K92" i="2"/>
  <c r="J92" i="2"/>
  <c r="I92" i="2"/>
  <c r="H92" i="2"/>
  <c r="G92" i="2"/>
  <c r="F92" i="2"/>
  <c r="E92" i="2"/>
  <c r="D92" i="2"/>
  <c r="C92" i="2"/>
  <c r="B92" i="2"/>
  <c r="A92" i="2"/>
  <c r="N91" i="2"/>
  <c r="M91" i="2"/>
  <c r="L91" i="2"/>
  <c r="K91" i="2"/>
  <c r="J91" i="2"/>
  <c r="I91" i="2"/>
  <c r="H91" i="2"/>
  <c r="G91" i="2"/>
  <c r="F91" i="2"/>
  <c r="E91" i="2"/>
  <c r="D91" i="2"/>
  <c r="C91" i="2"/>
  <c r="B91" i="2"/>
  <c r="A91" i="2"/>
  <c r="N90" i="2"/>
  <c r="M90" i="2"/>
  <c r="L90" i="2"/>
  <c r="K90" i="2"/>
  <c r="J90" i="2"/>
  <c r="I90" i="2"/>
  <c r="H90" i="2"/>
  <c r="G90" i="2"/>
  <c r="F90" i="2"/>
  <c r="E90" i="2"/>
  <c r="D90" i="2"/>
  <c r="C90" i="2"/>
  <c r="B90" i="2"/>
  <c r="A90" i="2"/>
  <c r="N89" i="2"/>
  <c r="M89" i="2"/>
  <c r="L89" i="2"/>
  <c r="K89" i="2"/>
  <c r="J89" i="2"/>
  <c r="I89" i="2"/>
  <c r="H89" i="2"/>
  <c r="G89" i="2"/>
  <c r="F89" i="2"/>
  <c r="E89" i="2"/>
  <c r="D89" i="2"/>
  <c r="C89" i="2"/>
  <c r="B89" i="2"/>
  <c r="A89" i="2"/>
  <c r="N88" i="2"/>
  <c r="M88" i="2"/>
  <c r="L88" i="2"/>
  <c r="K88" i="2"/>
  <c r="J88" i="2"/>
  <c r="I88" i="2"/>
  <c r="H88" i="2"/>
  <c r="G88" i="2"/>
  <c r="F88" i="2"/>
  <c r="E88" i="2"/>
  <c r="D88" i="2"/>
  <c r="C88" i="2"/>
  <c r="B88" i="2"/>
  <c r="A88" i="2"/>
  <c r="N87" i="2"/>
  <c r="M87" i="2"/>
  <c r="L87" i="2"/>
  <c r="K87" i="2"/>
  <c r="J87" i="2"/>
  <c r="I87" i="2"/>
  <c r="H87" i="2"/>
  <c r="G87" i="2"/>
  <c r="F87" i="2"/>
  <c r="E87" i="2"/>
  <c r="D87" i="2"/>
  <c r="C87" i="2"/>
  <c r="B87" i="2"/>
  <c r="A87" i="2"/>
  <c r="N86" i="2"/>
  <c r="M86" i="2"/>
  <c r="L86" i="2"/>
  <c r="K86" i="2"/>
  <c r="J86" i="2"/>
  <c r="I86" i="2"/>
  <c r="H86" i="2"/>
  <c r="G86" i="2"/>
  <c r="F86" i="2"/>
  <c r="E86" i="2"/>
  <c r="D86" i="2"/>
  <c r="C86" i="2"/>
  <c r="B86" i="2"/>
  <c r="A86" i="2"/>
  <c r="N85" i="2"/>
  <c r="M85" i="2"/>
  <c r="L85" i="2"/>
  <c r="K85" i="2"/>
  <c r="J85" i="2"/>
  <c r="I85" i="2"/>
  <c r="H85" i="2"/>
  <c r="G85" i="2"/>
  <c r="F85" i="2"/>
  <c r="E85" i="2"/>
  <c r="D85" i="2"/>
  <c r="C85" i="2"/>
  <c r="B85" i="2"/>
  <c r="A85" i="2"/>
  <c r="N84" i="2"/>
  <c r="M84" i="2"/>
  <c r="L84" i="2"/>
  <c r="K84" i="2"/>
  <c r="J84" i="2"/>
  <c r="I84" i="2"/>
  <c r="H84" i="2"/>
  <c r="G84" i="2"/>
  <c r="F84" i="2"/>
  <c r="E84" i="2"/>
  <c r="D84" i="2"/>
  <c r="C84" i="2"/>
  <c r="B84" i="2"/>
  <c r="A84" i="2"/>
  <c r="N83" i="2"/>
  <c r="M83" i="2"/>
  <c r="L83" i="2"/>
  <c r="K83" i="2"/>
  <c r="J83" i="2"/>
  <c r="I83" i="2"/>
  <c r="H83" i="2"/>
  <c r="G83" i="2"/>
  <c r="F83" i="2"/>
  <c r="E83" i="2"/>
  <c r="D83" i="2"/>
  <c r="C83" i="2"/>
  <c r="B83" i="2"/>
  <c r="A83" i="2"/>
  <c r="N82" i="2"/>
  <c r="M82" i="2"/>
  <c r="L82" i="2"/>
  <c r="K82" i="2"/>
  <c r="J82" i="2"/>
  <c r="I82" i="2"/>
  <c r="H82" i="2"/>
  <c r="G82" i="2"/>
  <c r="F82" i="2"/>
  <c r="E82" i="2"/>
  <c r="D82" i="2"/>
  <c r="C82" i="2"/>
  <c r="B82" i="2"/>
  <c r="A82" i="2"/>
  <c r="N81" i="2"/>
  <c r="M81" i="2"/>
  <c r="L81" i="2"/>
  <c r="K81" i="2"/>
  <c r="J81" i="2"/>
  <c r="I81" i="2"/>
  <c r="H81" i="2"/>
  <c r="G81" i="2"/>
  <c r="F81" i="2"/>
  <c r="E81" i="2"/>
  <c r="D81" i="2"/>
  <c r="C81" i="2"/>
  <c r="B81" i="2"/>
  <c r="A81" i="2"/>
  <c r="N80" i="2"/>
  <c r="M80" i="2"/>
  <c r="L80" i="2"/>
  <c r="K80" i="2"/>
  <c r="J80" i="2"/>
  <c r="I80" i="2"/>
  <c r="H80" i="2"/>
  <c r="G80" i="2"/>
  <c r="F80" i="2"/>
  <c r="E80" i="2"/>
  <c r="D80" i="2"/>
  <c r="C80" i="2"/>
  <c r="B80" i="2"/>
  <c r="A80" i="2"/>
  <c r="N79" i="2"/>
  <c r="M79" i="2"/>
  <c r="L79" i="2"/>
  <c r="K79" i="2"/>
  <c r="J79" i="2"/>
  <c r="I79" i="2"/>
  <c r="H79" i="2"/>
  <c r="G79" i="2"/>
  <c r="F79" i="2"/>
  <c r="E79" i="2"/>
  <c r="D79" i="2"/>
  <c r="C79" i="2"/>
  <c r="B79" i="2"/>
  <c r="A79" i="2"/>
  <c r="N78" i="2"/>
  <c r="M78" i="2"/>
  <c r="L78" i="2"/>
  <c r="K78" i="2"/>
  <c r="J78" i="2"/>
  <c r="I78" i="2"/>
  <c r="H78" i="2"/>
  <c r="G78" i="2"/>
  <c r="F78" i="2"/>
  <c r="E78" i="2"/>
  <c r="D78" i="2"/>
  <c r="C78" i="2"/>
  <c r="B78" i="2"/>
  <c r="A78" i="2"/>
  <c r="N77" i="2"/>
  <c r="M77" i="2"/>
  <c r="L77" i="2"/>
  <c r="K77" i="2"/>
  <c r="J77" i="2"/>
  <c r="I77" i="2"/>
  <c r="H77" i="2"/>
  <c r="G77" i="2"/>
  <c r="F77" i="2"/>
  <c r="E77" i="2"/>
  <c r="D77" i="2"/>
  <c r="C77" i="2"/>
  <c r="B77" i="2"/>
  <c r="A77" i="2"/>
  <c r="N76" i="2"/>
  <c r="M76" i="2"/>
  <c r="L76" i="2"/>
  <c r="K76" i="2"/>
  <c r="J76" i="2"/>
  <c r="I76" i="2"/>
  <c r="H76" i="2"/>
  <c r="G76" i="2"/>
  <c r="F76" i="2"/>
  <c r="E76" i="2"/>
  <c r="D76" i="2"/>
  <c r="C76" i="2"/>
  <c r="B76" i="2"/>
  <c r="A76" i="2"/>
  <c r="N75" i="2"/>
  <c r="M75" i="2"/>
  <c r="L75" i="2"/>
  <c r="K75" i="2"/>
  <c r="J75" i="2"/>
  <c r="I75" i="2"/>
  <c r="H75" i="2"/>
  <c r="G75" i="2"/>
  <c r="F75" i="2"/>
  <c r="E75" i="2"/>
  <c r="D75" i="2"/>
  <c r="C75" i="2"/>
  <c r="B75" i="2"/>
  <c r="A75" i="2"/>
  <c r="N74" i="2"/>
  <c r="M74" i="2"/>
  <c r="L74" i="2"/>
  <c r="K74" i="2"/>
  <c r="J74" i="2"/>
  <c r="I74" i="2"/>
  <c r="H74" i="2"/>
  <c r="G74" i="2"/>
  <c r="F74" i="2"/>
  <c r="E74" i="2"/>
  <c r="D74" i="2"/>
  <c r="C74" i="2"/>
  <c r="B74" i="2"/>
  <c r="A74" i="2"/>
  <c r="N73" i="2"/>
  <c r="M73" i="2"/>
  <c r="L73" i="2"/>
  <c r="K73" i="2"/>
  <c r="J73" i="2"/>
  <c r="I73" i="2"/>
  <c r="H73" i="2"/>
  <c r="G73" i="2"/>
  <c r="F73" i="2"/>
  <c r="E73" i="2"/>
  <c r="D73" i="2"/>
  <c r="C73" i="2"/>
  <c r="B73" i="2"/>
  <c r="A73" i="2"/>
  <c r="N72" i="2"/>
  <c r="M72" i="2"/>
  <c r="L72" i="2"/>
  <c r="K72" i="2"/>
  <c r="J72" i="2"/>
  <c r="I72" i="2"/>
  <c r="H72" i="2"/>
  <c r="G72" i="2"/>
  <c r="F72" i="2"/>
  <c r="E72" i="2"/>
  <c r="D72" i="2"/>
  <c r="C72" i="2"/>
  <c r="B72" i="2"/>
  <c r="A72" i="2"/>
  <c r="N71" i="2"/>
  <c r="M71" i="2"/>
  <c r="L71" i="2"/>
  <c r="K71" i="2"/>
  <c r="J71" i="2"/>
  <c r="I71" i="2"/>
  <c r="H71" i="2"/>
  <c r="G71" i="2"/>
  <c r="F71" i="2"/>
  <c r="E71" i="2"/>
  <c r="D71" i="2"/>
  <c r="C71" i="2"/>
  <c r="B71" i="2"/>
  <c r="A71" i="2"/>
  <c r="N70" i="2"/>
  <c r="M70" i="2"/>
  <c r="L70" i="2"/>
  <c r="K70" i="2"/>
  <c r="J70" i="2"/>
  <c r="I70" i="2"/>
  <c r="H70" i="2"/>
  <c r="G70" i="2"/>
  <c r="F70" i="2"/>
  <c r="E70" i="2"/>
  <c r="D70" i="2"/>
  <c r="C70" i="2"/>
  <c r="B70" i="2"/>
  <c r="A70" i="2"/>
  <c r="N69" i="2"/>
  <c r="M69" i="2"/>
  <c r="L69" i="2"/>
  <c r="K69" i="2"/>
  <c r="J69" i="2"/>
  <c r="I69" i="2"/>
  <c r="H69" i="2"/>
  <c r="G69" i="2"/>
  <c r="F69" i="2"/>
  <c r="E69" i="2"/>
  <c r="D69" i="2"/>
  <c r="C69" i="2"/>
  <c r="B69" i="2"/>
  <c r="A69" i="2"/>
  <c r="N68" i="2"/>
  <c r="M68" i="2"/>
  <c r="L68" i="2"/>
  <c r="K68" i="2"/>
  <c r="J68" i="2"/>
  <c r="I68" i="2"/>
  <c r="H68" i="2"/>
  <c r="G68" i="2"/>
  <c r="F68" i="2"/>
  <c r="E68" i="2"/>
  <c r="D68" i="2"/>
  <c r="C68" i="2"/>
  <c r="B68" i="2"/>
  <c r="A68" i="2"/>
  <c r="N67" i="2"/>
  <c r="M67" i="2"/>
  <c r="L67" i="2"/>
  <c r="K67" i="2"/>
  <c r="J67" i="2"/>
  <c r="I67" i="2"/>
  <c r="H67" i="2"/>
  <c r="G67" i="2"/>
  <c r="F67" i="2"/>
  <c r="E67" i="2"/>
  <c r="D67" i="2"/>
  <c r="C67" i="2"/>
  <c r="B67" i="2"/>
  <c r="A67" i="2"/>
  <c r="N66" i="2"/>
  <c r="M66" i="2"/>
  <c r="L66" i="2"/>
  <c r="K66" i="2"/>
  <c r="J66" i="2"/>
  <c r="I66" i="2"/>
  <c r="H66" i="2"/>
  <c r="G66" i="2"/>
  <c r="F66" i="2"/>
  <c r="E66" i="2"/>
  <c r="D66" i="2"/>
  <c r="C66" i="2"/>
  <c r="B66" i="2"/>
  <c r="A66" i="2"/>
  <c r="N65" i="2"/>
  <c r="M65" i="2"/>
  <c r="L65" i="2"/>
  <c r="K65" i="2"/>
  <c r="J65" i="2"/>
  <c r="I65" i="2"/>
  <c r="H65" i="2"/>
  <c r="G65" i="2"/>
  <c r="F65" i="2"/>
  <c r="E65" i="2"/>
  <c r="D65" i="2"/>
  <c r="C65" i="2"/>
  <c r="B65" i="2"/>
  <c r="A65" i="2"/>
  <c r="N64" i="2"/>
  <c r="M64" i="2"/>
  <c r="L64" i="2"/>
  <c r="K64" i="2"/>
  <c r="J64" i="2"/>
  <c r="I64" i="2"/>
  <c r="H64" i="2"/>
  <c r="G64" i="2"/>
  <c r="F64" i="2"/>
  <c r="E64" i="2"/>
  <c r="D64" i="2"/>
  <c r="C64" i="2"/>
  <c r="B64" i="2"/>
  <c r="A64" i="2"/>
  <c r="N63" i="2"/>
  <c r="M63" i="2"/>
  <c r="L63" i="2"/>
  <c r="K63" i="2"/>
  <c r="J63" i="2"/>
  <c r="I63" i="2"/>
  <c r="H63" i="2"/>
  <c r="G63" i="2"/>
  <c r="F63" i="2"/>
  <c r="E63" i="2"/>
  <c r="D63" i="2"/>
  <c r="C63" i="2"/>
  <c r="B63" i="2"/>
  <c r="A63" i="2"/>
  <c r="N62" i="2"/>
  <c r="M62" i="2"/>
  <c r="L62" i="2"/>
  <c r="K62" i="2"/>
  <c r="J62" i="2"/>
  <c r="I62" i="2"/>
  <c r="H62" i="2"/>
  <c r="G62" i="2"/>
  <c r="F62" i="2"/>
  <c r="E62" i="2"/>
  <c r="D62" i="2"/>
  <c r="C62" i="2"/>
  <c r="B62" i="2"/>
  <c r="A62" i="2"/>
  <c r="N61" i="2"/>
  <c r="M61" i="2"/>
  <c r="L61" i="2"/>
  <c r="K61" i="2"/>
  <c r="J61" i="2"/>
  <c r="I61" i="2"/>
  <c r="H61" i="2"/>
  <c r="G61" i="2"/>
  <c r="F61" i="2"/>
  <c r="E61" i="2"/>
  <c r="D61" i="2"/>
  <c r="C61" i="2"/>
  <c r="B61" i="2"/>
  <c r="A61" i="2"/>
  <c r="N60" i="2"/>
  <c r="M60" i="2"/>
  <c r="L60" i="2"/>
  <c r="K60" i="2"/>
  <c r="J60" i="2"/>
  <c r="I60" i="2"/>
  <c r="H60" i="2"/>
  <c r="G60" i="2"/>
  <c r="F60" i="2"/>
  <c r="E60" i="2"/>
  <c r="D60" i="2"/>
  <c r="C60" i="2"/>
  <c r="B60" i="2"/>
  <c r="A60" i="2"/>
  <c r="N59" i="2"/>
  <c r="M59" i="2"/>
  <c r="L59" i="2"/>
  <c r="K59" i="2"/>
  <c r="J59" i="2"/>
  <c r="I59" i="2"/>
  <c r="H59" i="2"/>
  <c r="G59" i="2"/>
  <c r="F59" i="2"/>
  <c r="E59" i="2"/>
  <c r="D59" i="2"/>
  <c r="C59" i="2"/>
  <c r="B59" i="2"/>
  <c r="A59" i="2"/>
  <c r="N58" i="2"/>
  <c r="M58" i="2"/>
  <c r="L58" i="2"/>
  <c r="K58" i="2"/>
  <c r="J58" i="2"/>
  <c r="I58" i="2"/>
  <c r="H58" i="2"/>
  <c r="G58" i="2"/>
  <c r="F58" i="2"/>
  <c r="E58" i="2"/>
  <c r="D58" i="2"/>
  <c r="C58" i="2"/>
  <c r="B58" i="2"/>
  <c r="A58" i="2"/>
  <c r="N57" i="2"/>
  <c r="M57" i="2"/>
  <c r="L57" i="2"/>
  <c r="K57" i="2"/>
  <c r="J57" i="2"/>
  <c r="I57" i="2"/>
  <c r="H57" i="2"/>
  <c r="G57" i="2"/>
  <c r="F57" i="2"/>
  <c r="E57" i="2"/>
  <c r="D57" i="2"/>
  <c r="C57" i="2"/>
  <c r="B57" i="2"/>
  <c r="A57" i="2"/>
  <c r="N56" i="2"/>
  <c r="M56" i="2"/>
  <c r="L56" i="2"/>
  <c r="K56" i="2"/>
  <c r="J56" i="2"/>
  <c r="I56" i="2"/>
  <c r="H56" i="2"/>
  <c r="G56" i="2"/>
  <c r="F56" i="2"/>
  <c r="E56" i="2"/>
  <c r="D56" i="2"/>
  <c r="C56" i="2"/>
  <c r="B56" i="2"/>
  <c r="A56" i="2"/>
  <c r="N55" i="2"/>
  <c r="M55" i="2"/>
  <c r="L55" i="2"/>
  <c r="K55" i="2"/>
  <c r="J55" i="2"/>
  <c r="I55" i="2"/>
  <c r="H55" i="2"/>
  <c r="G55" i="2"/>
  <c r="F55" i="2"/>
  <c r="E55" i="2"/>
  <c r="D55" i="2"/>
  <c r="C55" i="2"/>
  <c r="B55" i="2"/>
  <c r="A55" i="2"/>
  <c r="N54" i="2"/>
  <c r="M54" i="2"/>
  <c r="L54" i="2"/>
  <c r="K54" i="2"/>
  <c r="J54" i="2"/>
  <c r="I54" i="2"/>
  <c r="H54" i="2"/>
  <c r="G54" i="2"/>
  <c r="F54" i="2"/>
  <c r="E54" i="2"/>
  <c r="D54" i="2"/>
  <c r="C54" i="2"/>
  <c r="B54" i="2"/>
  <c r="A54" i="2"/>
  <c r="N53" i="2"/>
  <c r="M53" i="2"/>
  <c r="L53" i="2"/>
  <c r="K53" i="2"/>
  <c r="J53" i="2"/>
  <c r="I53" i="2"/>
  <c r="H53" i="2"/>
  <c r="G53" i="2"/>
  <c r="F53" i="2"/>
  <c r="E53" i="2"/>
  <c r="D53" i="2"/>
  <c r="C53" i="2"/>
  <c r="B53" i="2"/>
  <c r="A53" i="2"/>
  <c r="N52" i="2"/>
  <c r="M52" i="2"/>
  <c r="L52" i="2"/>
  <c r="K52" i="2"/>
  <c r="J52" i="2"/>
  <c r="I52" i="2"/>
  <c r="H52" i="2"/>
  <c r="G52" i="2"/>
  <c r="F52" i="2"/>
  <c r="E52" i="2"/>
  <c r="D52" i="2"/>
  <c r="C52" i="2"/>
  <c r="B52" i="2"/>
  <c r="A52" i="2"/>
  <c r="N51" i="2"/>
  <c r="M51" i="2"/>
  <c r="L51" i="2"/>
  <c r="K51" i="2"/>
  <c r="J51" i="2"/>
  <c r="I51" i="2"/>
  <c r="H51" i="2"/>
  <c r="G51" i="2"/>
  <c r="F51" i="2"/>
  <c r="E51" i="2"/>
  <c r="D51" i="2"/>
  <c r="C51" i="2"/>
  <c r="B51" i="2"/>
  <c r="A51" i="2"/>
  <c r="N50" i="2"/>
  <c r="M50" i="2"/>
  <c r="L50" i="2"/>
  <c r="K50" i="2"/>
  <c r="J50" i="2"/>
  <c r="I50" i="2"/>
  <c r="H50" i="2"/>
  <c r="G50" i="2"/>
  <c r="F50" i="2"/>
  <c r="E50" i="2"/>
  <c r="D50" i="2"/>
  <c r="C50" i="2"/>
  <c r="B50" i="2"/>
  <c r="A50" i="2"/>
  <c r="N49" i="2"/>
  <c r="M49" i="2"/>
  <c r="L49" i="2"/>
  <c r="K49" i="2"/>
  <c r="J49" i="2"/>
  <c r="I49" i="2"/>
  <c r="H49" i="2"/>
  <c r="G49" i="2"/>
  <c r="F49" i="2"/>
  <c r="E49" i="2"/>
  <c r="D49" i="2"/>
  <c r="C49" i="2"/>
  <c r="B49" i="2"/>
  <c r="A49" i="2"/>
  <c r="N48" i="2"/>
  <c r="M48" i="2"/>
  <c r="L48" i="2"/>
  <c r="K48" i="2"/>
  <c r="J48" i="2"/>
  <c r="I48" i="2"/>
  <c r="H48" i="2"/>
  <c r="G48" i="2"/>
  <c r="F48" i="2"/>
  <c r="E48" i="2"/>
  <c r="D48" i="2"/>
  <c r="C48" i="2"/>
  <c r="B48" i="2"/>
  <c r="A48" i="2"/>
  <c r="N47" i="2"/>
  <c r="M47" i="2"/>
  <c r="L47" i="2"/>
  <c r="K47" i="2"/>
  <c r="J47" i="2"/>
  <c r="I47" i="2"/>
  <c r="H47" i="2"/>
  <c r="G47" i="2"/>
  <c r="F47" i="2"/>
  <c r="E47" i="2"/>
  <c r="D47" i="2"/>
  <c r="C47" i="2"/>
  <c r="B47" i="2"/>
  <c r="A47" i="2"/>
  <c r="N46" i="2"/>
  <c r="M46" i="2"/>
  <c r="L46" i="2"/>
  <c r="K46" i="2"/>
  <c r="J46" i="2"/>
  <c r="I46" i="2"/>
  <c r="H46" i="2"/>
  <c r="G46" i="2"/>
  <c r="F46" i="2"/>
  <c r="E46" i="2"/>
  <c r="D46" i="2"/>
  <c r="C46" i="2"/>
  <c r="B46" i="2"/>
  <c r="A46" i="2"/>
  <c r="N45" i="2"/>
  <c r="M45" i="2"/>
  <c r="L45" i="2"/>
  <c r="K45" i="2"/>
  <c r="J45" i="2"/>
  <c r="I45" i="2"/>
  <c r="H45" i="2"/>
  <c r="G45" i="2"/>
  <c r="F45" i="2"/>
  <c r="E45" i="2"/>
  <c r="D45" i="2"/>
  <c r="C45" i="2"/>
  <c r="B45" i="2"/>
  <c r="A45" i="2"/>
  <c r="N44" i="2"/>
  <c r="M44" i="2"/>
  <c r="L44" i="2"/>
  <c r="K44" i="2"/>
  <c r="J44" i="2"/>
  <c r="I44" i="2"/>
  <c r="H44" i="2"/>
  <c r="G44" i="2"/>
  <c r="F44" i="2"/>
  <c r="J7" i="3" s="1"/>
  <c r="K7" i="3" s="1"/>
  <c r="E44" i="2"/>
  <c r="D44" i="2"/>
  <c r="C44" i="2"/>
  <c r="B44" i="2"/>
  <c r="A44" i="2"/>
  <c r="N43" i="2"/>
  <c r="M43" i="2"/>
  <c r="L43" i="2"/>
  <c r="K43" i="2"/>
  <c r="J43" i="2"/>
  <c r="I43" i="2"/>
  <c r="H43" i="2"/>
  <c r="G43" i="2"/>
  <c r="F43" i="2"/>
  <c r="E43" i="2"/>
  <c r="D43" i="2"/>
  <c r="C43" i="2"/>
  <c r="B43" i="2"/>
  <c r="A43" i="2"/>
  <c r="N42" i="2"/>
  <c r="M42" i="2"/>
  <c r="L42" i="2"/>
  <c r="K42" i="2"/>
  <c r="J42" i="2"/>
  <c r="I42" i="2"/>
  <c r="H42" i="2"/>
  <c r="G42" i="2"/>
  <c r="F42" i="2"/>
  <c r="E42" i="2"/>
  <c r="D42" i="2"/>
  <c r="C42" i="2"/>
  <c r="B42" i="2"/>
  <c r="A42" i="2"/>
  <c r="N41" i="2"/>
  <c r="M41" i="2"/>
  <c r="L41" i="2"/>
  <c r="K41" i="2"/>
  <c r="J41" i="2"/>
  <c r="I41" i="2"/>
  <c r="H41" i="2"/>
  <c r="G41" i="2"/>
  <c r="F41" i="2"/>
  <c r="E41" i="2"/>
  <c r="D41" i="2"/>
  <c r="C41" i="2"/>
  <c r="B41" i="2"/>
  <c r="A41" i="2"/>
  <c r="N40" i="2"/>
  <c r="M40" i="2"/>
  <c r="L40" i="2"/>
  <c r="K40" i="2"/>
  <c r="J40" i="2"/>
  <c r="I40" i="2"/>
  <c r="H40" i="2"/>
  <c r="G40" i="2"/>
  <c r="F40" i="2"/>
  <c r="Z24" i="3" s="1" a="1"/>
  <c r="Z24" i="3" s="1"/>
  <c r="E40" i="2"/>
  <c r="D40" i="2"/>
  <c r="C40" i="2"/>
  <c r="B40" i="2"/>
  <c r="A40" i="2"/>
  <c r="N39" i="2"/>
  <c r="M39" i="2"/>
  <c r="L39" i="2"/>
  <c r="K39" i="2"/>
  <c r="J39" i="2"/>
  <c r="I39" i="2"/>
  <c r="H39" i="2"/>
  <c r="G39" i="2"/>
  <c r="F39" i="2"/>
  <c r="E39" i="2"/>
  <c r="D39" i="2"/>
  <c r="C39" i="2"/>
  <c r="B39" i="2"/>
  <c r="A39" i="2"/>
  <c r="N38" i="2"/>
  <c r="M38" i="2"/>
  <c r="L38" i="2"/>
  <c r="K38" i="2"/>
  <c r="J38" i="2"/>
  <c r="I38" i="2"/>
  <c r="H38" i="2"/>
  <c r="G38" i="2"/>
  <c r="F38" i="2"/>
  <c r="E38" i="2"/>
  <c r="D38" i="2"/>
  <c r="C38" i="2"/>
  <c r="B38" i="2"/>
  <c r="A38" i="2"/>
  <c r="N37" i="2"/>
  <c r="M37" i="2"/>
  <c r="L37" i="2"/>
  <c r="K37" i="2"/>
  <c r="J37" i="2"/>
  <c r="I37" i="2"/>
  <c r="H37" i="2"/>
  <c r="G37" i="2"/>
  <c r="F37" i="2"/>
  <c r="E37" i="2"/>
  <c r="D37" i="2"/>
  <c r="C37" i="2"/>
  <c r="B37" i="2"/>
  <c r="A37" i="2"/>
  <c r="N36" i="2"/>
  <c r="S12" i="3" s="1"/>
  <c r="M36" i="2"/>
  <c r="L36" i="2"/>
  <c r="K36" i="2"/>
  <c r="J36" i="2"/>
  <c r="I36" i="2"/>
  <c r="H36" i="2"/>
  <c r="G36" i="2"/>
  <c r="F36" i="2"/>
  <c r="E36" i="2"/>
  <c r="D36" i="2"/>
  <c r="C36" i="2"/>
  <c r="B36" i="2"/>
  <c r="A36" i="2"/>
  <c r="N35" i="2"/>
  <c r="M35" i="2"/>
  <c r="L35" i="2"/>
  <c r="K35" i="2"/>
  <c r="J35" i="2"/>
  <c r="I35" i="2"/>
  <c r="H35" i="2"/>
  <c r="G35" i="2"/>
  <c r="F35" i="2"/>
  <c r="E35" i="2"/>
  <c r="D35" i="2"/>
  <c r="C35" i="2"/>
  <c r="B35" i="2"/>
  <c r="A35" i="2"/>
  <c r="N34" i="2"/>
  <c r="M34" i="2"/>
  <c r="L34" i="2"/>
  <c r="K34" i="2"/>
  <c r="J34" i="2"/>
  <c r="I34" i="2"/>
  <c r="H34" i="2"/>
  <c r="G34" i="2"/>
  <c r="F34" i="2"/>
  <c r="E34" i="2"/>
  <c r="D34" i="2"/>
  <c r="C34" i="2"/>
  <c r="B34" i="2"/>
  <c r="A34" i="2"/>
  <c r="N33" i="2"/>
  <c r="M33" i="2"/>
  <c r="L33" i="2"/>
  <c r="K33" i="2"/>
  <c r="J33" i="2"/>
  <c r="I33" i="2"/>
  <c r="H33" i="2"/>
  <c r="G33" i="2"/>
  <c r="F33" i="2"/>
  <c r="E33" i="2"/>
  <c r="D33" i="2"/>
  <c r="C33" i="2"/>
  <c r="B33" i="2"/>
  <c r="A33" i="2"/>
  <c r="N32" i="2"/>
  <c r="M32" i="2"/>
  <c r="L32" i="2"/>
  <c r="K32" i="2"/>
  <c r="J32" i="2"/>
  <c r="I32" i="2"/>
  <c r="H32" i="2"/>
  <c r="G32" i="2"/>
  <c r="F32" i="2"/>
  <c r="E32" i="2"/>
  <c r="D32" i="2"/>
  <c r="C32" i="2"/>
  <c r="B32" i="2"/>
  <c r="A32" i="2"/>
  <c r="N31" i="2"/>
  <c r="M31" i="2"/>
  <c r="L31" i="2"/>
  <c r="K31" i="2"/>
  <c r="J31" i="2"/>
  <c r="I31" i="2"/>
  <c r="H31" i="2"/>
  <c r="G31" i="2"/>
  <c r="F31" i="2"/>
  <c r="E31" i="2"/>
  <c r="D31" i="2"/>
  <c r="C31" i="2"/>
  <c r="B31" i="2"/>
  <c r="A31" i="2"/>
  <c r="N30" i="2"/>
  <c r="M30" i="2"/>
  <c r="L30" i="2"/>
  <c r="K30" i="2"/>
  <c r="J30" i="2"/>
  <c r="I30" i="2"/>
  <c r="H30" i="2"/>
  <c r="G30" i="2"/>
  <c r="F30" i="2"/>
  <c r="E30" i="2"/>
  <c r="D30" i="2"/>
  <c r="C30" i="2"/>
  <c r="B30" i="2"/>
  <c r="A30" i="2"/>
  <c r="N29" i="2"/>
  <c r="M29" i="2"/>
  <c r="L29" i="2"/>
  <c r="K29" i="2"/>
  <c r="J29" i="2"/>
  <c r="I29" i="2"/>
  <c r="H29" i="2"/>
  <c r="G29" i="2"/>
  <c r="F29" i="2"/>
  <c r="E29" i="2"/>
  <c r="D29" i="2"/>
  <c r="C29" i="2"/>
  <c r="B29" i="2"/>
  <c r="A29" i="2"/>
  <c r="N28" i="2"/>
  <c r="M28" i="2"/>
  <c r="L28" i="2"/>
  <c r="K28" i="2"/>
  <c r="J28" i="2"/>
  <c r="I28" i="2"/>
  <c r="H28" i="2"/>
  <c r="G28" i="2"/>
  <c r="F28" i="2"/>
  <c r="E28" i="2"/>
  <c r="D28" i="2"/>
  <c r="C28" i="2"/>
  <c r="B28" i="2"/>
  <c r="A28" i="2"/>
  <c r="N27" i="2"/>
  <c r="M27" i="2"/>
  <c r="L27" i="2"/>
  <c r="K27" i="2"/>
  <c r="J27" i="2"/>
  <c r="I27" i="2"/>
  <c r="H27" i="2"/>
  <c r="G27" i="2"/>
  <c r="F27" i="2"/>
  <c r="E27" i="2"/>
  <c r="D27" i="2"/>
  <c r="C27" i="2"/>
  <c r="B27" i="2"/>
  <c r="A27" i="2"/>
  <c r="N26" i="2"/>
  <c r="M26" i="2"/>
  <c r="L26" i="2"/>
  <c r="K26" i="2"/>
  <c r="J26" i="2"/>
  <c r="I26" i="2"/>
  <c r="H26" i="2"/>
  <c r="G26" i="2"/>
  <c r="F26" i="2"/>
  <c r="E26" i="2"/>
  <c r="D26" i="2"/>
  <c r="C26" i="2"/>
  <c r="B26" i="2"/>
  <c r="A26" i="2"/>
  <c r="N25" i="2"/>
  <c r="M25" i="2"/>
  <c r="L25" i="2"/>
  <c r="K25" i="2"/>
  <c r="J25" i="2"/>
  <c r="I25" i="2"/>
  <c r="H25" i="2"/>
  <c r="G25" i="2"/>
  <c r="F25" i="2"/>
  <c r="E25" i="2"/>
  <c r="D25" i="2"/>
  <c r="C25" i="2"/>
  <c r="B25" i="2"/>
  <c r="A25" i="2"/>
  <c r="N24" i="2"/>
  <c r="M24" i="2"/>
  <c r="L24" i="2"/>
  <c r="K24" i="2"/>
  <c r="J24" i="2"/>
  <c r="I24" i="2"/>
  <c r="H24" i="2"/>
  <c r="G24" i="2"/>
  <c r="F24" i="2"/>
  <c r="E24" i="2"/>
  <c r="D24" i="2"/>
  <c r="C24" i="2"/>
  <c r="B24" i="2"/>
  <c r="A24" i="2"/>
  <c r="N23" i="2"/>
  <c r="M23" i="2"/>
  <c r="L23" i="2"/>
  <c r="K23" i="2"/>
  <c r="J23" i="2"/>
  <c r="I23" i="2"/>
  <c r="H23" i="2"/>
  <c r="G23" i="2"/>
  <c r="F23" i="2"/>
  <c r="E23" i="2"/>
  <c r="D23" i="2"/>
  <c r="C23" i="2"/>
  <c r="B23" i="2"/>
  <c r="A23" i="2"/>
  <c r="N22" i="2"/>
  <c r="M22" i="2"/>
  <c r="L22" i="2"/>
  <c r="K22" i="2"/>
  <c r="J22" i="2"/>
  <c r="I22" i="2"/>
  <c r="H22" i="2"/>
  <c r="G22" i="2"/>
  <c r="F22" i="2"/>
  <c r="E22" i="2"/>
  <c r="D22" i="2"/>
  <c r="C22" i="2"/>
  <c r="B22" i="2"/>
  <c r="A22" i="2"/>
  <c r="N21" i="2"/>
  <c r="M21" i="2"/>
  <c r="L21" i="2"/>
  <c r="K21" i="2"/>
  <c r="J21" i="2"/>
  <c r="I21" i="2"/>
  <c r="H21" i="2"/>
  <c r="Q14" i="3" s="1"/>
  <c r="G21" i="2"/>
  <c r="F21" i="2"/>
  <c r="E21" i="2"/>
  <c r="D21" i="2"/>
  <c r="C21" i="2"/>
  <c r="B21" i="2"/>
  <c r="A21" i="2"/>
  <c r="N20" i="2"/>
  <c r="M20" i="2"/>
  <c r="L20" i="2"/>
  <c r="K20" i="2"/>
  <c r="J20" i="2"/>
  <c r="I20" i="2"/>
  <c r="H20" i="2"/>
  <c r="G20" i="2"/>
  <c r="F20" i="2"/>
  <c r="E20" i="2"/>
  <c r="D20" i="2"/>
  <c r="C20" i="2"/>
  <c r="B20" i="2"/>
  <c r="A20" i="2"/>
  <c r="N19" i="2"/>
  <c r="M19" i="2"/>
  <c r="L19" i="2"/>
  <c r="K19" i="2"/>
  <c r="J19" i="2"/>
  <c r="I19" i="2"/>
  <c r="H19" i="2"/>
  <c r="G19" i="2"/>
  <c r="F19" i="2"/>
  <c r="E19" i="2"/>
  <c r="D19" i="2"/>
  <c r="C19" i="2"/>
  <c r="B19" i="2"/>
  <c r="A19" i="2"/>
  <c r="N18" i="2"/>
  <c r="M18" i="2"/>
  <c r="L18" i="2"/>
  <c r="K18" i="2"/>
  <c r="J18" i="2"/>
  <c r="I18" i="2"/>
  <c r="H18" i="2"/>
  <c r="G18" i="2"/>
  <c r="F18" i="2"/>
  <c r="E18" i="2"/>
  <c r="D18" i="2"/>
  <c r="C18" i="2"/>
  <c r="B18" i="2"/>
  <c r="A18" i="2"/>
  <c r="N17" i="2"/>
  <c r="M17" i="2"/>
  <c r="L17" i="2"/>
  <c r="K17" i="2"/>
  <c r="J17" i="2"/>
  <c r="I17" i="2"/>
  <c r="H17" i="2"/>
  <c r="G17" i="2"/>
  <c r="F17" i="2"/>
  <c r="E17" i="2"/>
  <c r="D17" i="2"/>
  <c r="C17" i="2"/>
  <c r="B17" i="2"/>
  <c r="A17" i="2"/>
  <c r="N16" i="2"/>
  <c r="M16" i="2"/>
  <c r="L16" i="2"/>
  <c r="K16" i="2"/>
  <c r="J16" i="2"/>
  <c r="I16" i="2"/>
  <c r="H16" i="2"/>
  <c r="G16" i="2"/>
  <c r="F16" i="2"/>
  <c r="E16" i="2"/>
  <c r="D16" i="2"/>
  <c r="C16" i="2"/>
  <c r="B16" i="2"/>
  <c r="A16" i="2"/>
  <c r="N15" i="2"/>
  <c r="M15" i="2"/>
  <c r="L15" i="2"/>
  <c r="K15" i="2"/>
  <c r="J15" i="2"/>
  <c r="I15" i="2"/>
  <c r="H15" i="2"/>
  <c r="G15" i="2"/>
  <c r="F15" i="2"/>
  <c r="E15" i="2"/>
  <c r="D15" i="2"/>
  <c r="C15" i="2"/>
  <c r="B15" i="2"/>
  <c r="A15" i="2"/>
  <c r="N14" i="2"/>
  <c r="M14" i="2"/>
  <c r="L14" i="2"/>
  <c r="K14" i="2"/>
  <c r="J14" i="2"/>
  <c r="I14" i="2"/>
  <c r="H14" i="2"/>
  <c r="G14" i="2"/>
  <c r="F14" i="2"/>
  <c r="E14" i="2"/>
  <c r="D14" i="2"/>
  <c r="C14" i="2"/>
  <c r="B14" i="2"/>
  <c r="A14" i="2"/>
  <c r="N13" i="2"/>
  <c r="M13" i="2"/>
  <c r="L13" i="2"/>
  <c r="K13" i="2"/>
  <c r="J13" i="2"/>
  <c r="I13" i="2"/>
  <c r="H13" i="2"/>
  <c r="G13" i="2"/>
  <c r="F13" i="2"/>
  <c r="E13" i="2"/>
  <c r="D13" i="2"/>
  <c r="C13" i="2"/>
  <c r="B13" i="2"/>
  <c r="A13" i="2"/>
  <c r="N12" i="2"/>
  <c r="M12" i="2"/>
  <c r="L12" i="2"/>
  <c r="K12" i="2"/>
  <c r="J12" i="2"/>
  <c r="I12" i="2"/>
  <c r="H12" i="2"/>
  <c r="G12" i="2"/>
  <c r="F12" i="2"/>
  <c r="E12" i="2"/>
  <c r="D12" i="2"/>
  <c r="C12" i="2"/>
  <c r="B12" i="2"/>
  <c r="A12" i="2"/>
  <c r="N11" i="2"/>
  <c r="M11" i="2"/>
  <c r="L11" i="2"/>
  <c r="K11" i="2"/>
  <c r="J11" i="2"/>
  <c r="I11" i="2"/>
  <c r="H11" i="2"/>
  <c r="G11" i="2"/>
  <c r="F11" i="2"/>
  <c r="E11" i="2"/>
  <c r="D11" i="2"/>
  <c r="C11" i="2"/>
  <c r="B11" i="2"/>
  <c r="A11" i="2"/>
  <c r="N10" i="2"/>
  <c r="M10" i="2"/>
  <c r="L10" i="2"/>
  <c r="K10" i="2"/>
  <c r="J10" i="2"/>
  <c r="I10" i="2"/>
  <c r="H10" i="2"/>
  <c r="G10" i="2"/>
  <c r="F10" i="2"/>
  <c r="E10" i="2"/>
  <c r="D10" i="2"/>
  <c r="C10" i="2"/>
  <c r="B10" i="2"/>
  <c r="A10" i="2"/>
  <c r="N9" i="2"/>
  <c r="M9" i="2"/>
  <c r="L9" i="2"/>
  <c r="K9" i="2"/>
  <c r="J9" i="2"/>
  <c r="I9" i="2"/>
  <c r="H9" i="2"/>
  <c r="G9" i="2"/>
  <c r="F9" i="2"/>
  <c r="E9" i="2"/>
  <c r="D9" i="2"/>
  <c r="C9" i="2"/>
  <c r="B9" i="2"/>
  <c r="A9" i="2"/>
  <c r="N8" i="2"/>
  <c r="M8" i="2"/>
  <c r="L8" i="2"/>
  <c r="K8" i="2"/>
  <c r="J8" i="2"/>
  <c r="I8" i="2"/>
  <c r="H8" i="2"/>
  <c r="G8" i="2"/>
  <c r="F8" i="2"/>
  <c r="E8" i="2"/>
  <c r="D8" i="2"/>
  <c r="C8" i="2"/>
  <c r="B8" i="2"/>
  <c r="A8" i="2"/>
  <c r="N7" i="2"/>
  <c r="M7" i="2"/>
  <c r="L7" i="2"/>
  <c r="K7" i="2"/>
  <c r="J7" i="2"/>
  <c r="I7" i="2"/>
  <c r="H7" i="2"/>
  <c r="G7" i="2"/>
  <c r="F7" i="2"/>
  <c r="E7" i="2"/>
  <c r="D7" i="2"/>
  <c r="B27" i="3" s="1"/>
  <c r="L27" i="3" s="1"/>
  <c r="C7" i="2"/>
  <c r="B7" i="2"/>
  <c r="A7" i="2"/>
  <c r="N6" i="2"/>
  <c r="M6" i="2"/>
  <c r="L6" i="2"/>
  <c r="K6" i="2"/>
  <c r="J6" i="2"/>
  <c r="I6" i="2"/>
  <c r="H6" i="2"/>
  <c r="G6" i="2"/>
  <c r="F6" i="2"/>
  <c r="E6" i="2"/>
  <c r="D6" i="2"/>
  <c r="C6" i="2"/>
  <c r="B6" i="2"/>
  <c r="A6" i="2"/>
  <c r="N5" i="2"/>
  <c r="M5" i="2"/>
  <c r="L5" i="2"/>
  <c r="K5" i="2"/>
  <c r="J5" i="2"/>
  <c r="I5" i="2"/>
  <c r="H5" i="2"/>
  <c r="G5" i="2"/>
  <c r="F5" i="2"/>
  <c r="E5" i="2"/>
  <c r="D5" i="2"/>
  <c r="C5" i="2"/>
  <c r="B5" i="2"/>
  <c r="A5" i="2"/>
  <c r="N4" i="2"/>
  <c r="M4" i="2"/>
  <c r="L4" i="2"/>
  <c r="K4" i="2"/>
  <c r="J4" i="2"/>
  <c r="I4" i="2"/>
  <c r="H4" i="2"/>
  <c r="G4" i="2"/>
  <c r="F4" i="2"/>
  <c r="J24" i="3" s="1"/>
  <c r="E4" i="2"/>
  <c r="D4" i="2"/>
  <c r="C4" i="2"/>
  <c r="B4" i="2"/>
  <c r="A4" i="2"/>
  <c r="N3" i="2"/>
  <c r="M3" i="2"/>
  <c r="L3" i="2"/>
  <c r="K3" i="2"/>
  <c r="J3" i="2"/>
  <c r="I3" i="2"/>
  <c r="H3" i="2"/>
  <c r="G3" i="2"/>
  <c r="F3" i="2"/>
  <c r="E3" i="2"/>
  <c r="D3" i="2"/>
  <c r="C3" i="2"/>
  <c r="B3" i="2"/>
  <c r="A3" i="2"/>
  <c r="N2" i="2"/>
  <c r="M2" i="2"/>
  <c r="L2" i="2"/>
  <c r="K2" i="2"/>
  <c r="J2" i="2"/>
  <c r="I2" i="2"/>
  <c r="H2" i="2"/>
  <c r="G2" i="2"/>
  <c r="Z82" i="3" s="1" a="1"/>
  <c r="Z82" i="3" s="1"/>
  <c r="F2" i="2"/>
  <c r="E2" i="2"/>
  <c r="R15" i="3" s="1"/>
  <c r="D2" i="2"/>
  <c r="C2" i="2"/>
  <c r="B22" i="3" s="1"/>
  <c r="L22" i="3" s="1"/>
  <c r="B2" i="2"/>
  <c r="Q24" i="3" s="1"/>
  <c r="A2" i="2"/>
  <c r="E4" i="3" l="1"/>
  <c r="B5" i="3"/>
  <c r="L5" i="3" s="1"/>
  <c r="J5" i="3"/>
  <c r="K5" i="3" s="1"/>
  <c r="S6" i="3"/>
  <c r="Z9" i="3" a="1"/>
  <c r="Z9" i="3" s="1"/>
  <c r="S10" i="3"/>
  <c r="F11" i="3"/>
  <c r="R11" i="3"/>
  <c r="Y11" i="3" a="1"/>
  <c r="Y11" i="3" s="1"/>
  <c r="E12" i="3"/>
  <c r="Q12" i="3"/>
  <c r="X13" i="3" a="1"/>
  <c r="X13" i="3" s="1"/>
  <c r="C14" i="3"/>
  <c r="D14" i="3" s="1"/>
  <c r="B15" i="3"/>
  <c r="L15" i="3" s="1"/>
  <c r="J15" i="3"/>
  <c r="K15" i="3" s="1"/>
  <c r="W15" i="3" a="1"/>
  <c r="W15" i="3" s="1"/>
  <c r="AA15" i="3" a="1"/>
  <c r="AA15" i="3" s="1"/>
  <c r="F18" i="3"/>
  <c r="AA18" i="3" a="1"/>
  <c r="AA18" i="3" s="1"/>
  <c r="J19" i="3"/>
  <c r="K19" i="3" s="1"/>
  <c r="B20" i="3"/>
  <c r="L20" i="3" s="1"/>
  <c r="W20" i="3" a="1"/>
  <c r="W20" i="3" s="1"/>
  <c r="F21" i="3"/>
  <c r="J22" i="3"/>
  <c r="K22" i="3" s="1"/>
  <c r="C23" i="3"/>
  <c r="D23" i="3" s="1"/>
  <c r="J25" i="3"/>
  <c r="K25" i="3" s="1"/>
  <c r="AA25" i="3" a="1"/>
  <c r="AA25" i="3" s="1"/>
  <c r="Z27" i="3" a="1"/>
  <c r="Z27" i="3" s="1"/>
  <c r="Y29" i="3" a="1"/>
  <c r="Y29" i="3" s="1"/>
  <c r="X31" i="3" a="1"/>
  <c r="X31" i="3" s="1"/>
  <c r="C40" i="3"/>
  <c r="D40" i="3" s="1"/>
  <c r="AA51" i="3" a="1"/>
  <c r="AA51" i="3" s="1"/>
  <c r="B6" i="7"/>
  <c r="F6" i="6" s="1"/>
  <c r="F4" i="3"/>
  <c r="C5" i="3"/>
  <c r="D5" i="3" s="1"/>
  <c r="B8" i="3"/>
  <c r="L8" i="3" s="1"/>
  <c r="J8" i="3"/>
  <c r="K8" i="3" s="1"/>
  <c r="W8" i="3" a="1"/>
  <c r="W8" i="3" s="1"/>
  <c r="AA8" i="3" a="1"/>
  <c r="AA8" i="3" s="1"/>
  <c r="Z10" i="3" a="1"/>
  <c r="Z10" i="3" s="1"/>
  <c r="S11" i="3"/>
  <c r="F12" i="3"/>
  <c r="R12" i="3"/>
  <c r="Y12" i="3" a="1"/>
  <c r="Y12" i="3" s="1"/>
  <c r="E13" i="3"/>
  <c r="Q13" i="3"/>
  <c r="X14" i="3" a="1"/>
  <c r="X14" i="3" s="1"/>
  <c r="C15" i="3"/>
  <c r="D15" i="3" s="1"/>
  <c r="B16" i="3"/>
  <c r="L16" i="3" s="1"/>
  <c r="J16" i="3"/>
  <c r="K16" i="3" s="1"/>
  <c r="Y16" i="3" a="1"/>
  <c r="Y16" i="3" s="1"/>
  <c r="E17" i="3"/>
  <c r="Z17" i="3" a="1"/>
  <c r="Z17" i="3" s="1"/>
  <c r="W18" i="3" a="1"/>
  <c r="W18" i="3" s="1"/>
  <c r="B19" i="3"/>
  <c r="L19" i="3" s="1"/>
  <c r="C20" i="3"/>
  <c r="D20" i="3" s="1"/>
  <c r="X20" i="3" a="1"/>
  <c r="X20" i="3" s="1"/>
  <c r="C26" i="3"/>
  <c r="D26" i="3" s="1"/>
  <c r="E30" i="3"/>
  <c r="C32" i="3"/>
  <c r="D32" i="3" s="1"/>
  <c r="W33" i="3" a="1"/>
  <c r="W33" i="3" s="1"/>
  <c r="Q35" i="3"/>
  <c r="F37" i="3"/>
  <c r="C46" i="3"/>
  <c r="D46" i="3" s="1"/>
  <c r="B53" i="3"/>
  <c r="L53" i="3" s="1"/>
  <c r="E5" i="3"/>
  <c r="B6" i="3"/>
  <c r="L6" i="3" s="1"/>
  <c r="J6" i="3"/>
  <c r="K6" i="3" s="1"/>
  <c r="C7" i="3"/>
  <c r="D7" i="3" s="1"/>
  <c r="X8" i="3" a="1"/>
  <c r="X8" i="3" s="1"/>
  <c r="C9" i="3"/>
  <c r="D9" i="3" s="1"/>
  <c r="B10" i="3"/>
  <c r="L10" i="3" s="1"/>
  <c r="J10" i="3"/>
  <c r="K10" i="3" s="1"/>
  <c r="W10" i="3" a="1"/>
  <c r="W10" i="3" s="1"/>
  <c r="AA10" i="3" a="1"/>
  <c r="AA10" i="3" s="1"/>
  <c r="Z12" i="3" a="1"/>
  <c r="Z12" i="3" s="1"/>
  <c r="S13" i="3"/>
  <c r="F14" i="3"/>
  <c r="G14" i="3" s="1"/>
  <c r="R14" i="3"/>
  <c r="Y14" i="3" a="1"/>
  <c r="Y14" i="3" s="1"/>
  <c r="E15" i="3"/>
  <c r="Q15" i="3"/>
  <c r="Z16" i="3" a="1"/>
  <c r="Z16" i="3" s="1"/>
  <c r="W17" i="3" a="1"/>
  <c r="W17" i="3" s="1"/>
  <c r="AA17" i="3" a="1"/>
  <c r="AA17" i="3" s="1"/>
  <c r="X18" i="3" a="1"/>
  <c r="X18" i="3" s="1"/>
  <c r="E19" i="3"/>
  <c r="F20" i="3"/>
  <c r="X22" i="3" a="1"/>
  <c r="X22" i="3" s="1"/>
  <c r="Z23" i="3" a="1"/>
  <c r="Z23" i="3" s="1"/>
  <c r="Q28" i="3"/>
  <c r="Q32" i="3"/>
  <c r="AA37" i="3" a="1"/>
  <c r="AA37" i="3" s="1"/>
  <c r="X41" i="3" a="1"/>
  <c r="X41" i="3" s="1"/>
  <c r="W47" i="3" a="1"/>
  <c r="W47" i="3" s="1"/>
  <c r="AA60" i="3" a="1"/>
  <c r="AA60" i="3" s="1"/>
  <c r="B7" i="7"/>
  <c r="J6" i="6" s="1"/>
  <c r="C53" i="3"/>
  <c r="D53" i="3" s="1"/>
  <c r="E51" i="3"/>
  <c r="J50" i="3"/>
  <c r="K50" i="3" s="1"/>
  <c r="B50" i="3"/>
  <c r="L50" i="3" s="1"/>
  <c r="F46" i="3"/>
  <c r="C45" i="3"/>
  <c r="D45" i="3" s="1"/>
  <c r="E43" i="3"/>
  <c r="F52" i="3"/>
  <c r="C51" i="3"/>
  <c r="D51" i="3" s="1"/>
  <c r="E49" i="3"/>
  <c r="J48" i="3"/>
  <c r="K48" i="3" s="1"/>
  <c r="B48" i="3"/>
  <c r="L48" i="3" s="1"/>
  <c r="F44" i="3"/>
  <c r="C43" i="3"/>
  <c r="D43" i="3" s="1"/>
  <c r="E41" i="3"/>
  <c r="J40" i="3"/>
  <c r="K40" i="3" s="1"/>
  <c r="F50" i="3"/>
  <c r="C49" i="3"/>
  <c r="D49" i="3" s="1"/>
  <c r="E47" i="3"/>
  <c r="J46" i="3"/>
  <c r="K46" i="3" s="1"/>
  <c r="B46" i="3"/>
  <c r="L46" i="3" s="1"/>
  <c r="F42" i="3"/>
  <c r="C41" i="3"/>
  <c r="D41" i="3" s="1"/>
  <c r="E39" i="3"/>
  <c r="F53" i="3"/>
  <c r="C52" i="3"/>
  <c r="D52" i="3" s="1"/>
  <c r="E50" i="3"/>
  <c r="E53" i="3"/>
  <c r="J52" i="3"/>
  <c r="K52" i="3" s="1"/>
  <c r="B52" i="3"/>
  <c r="L52" i="3" s="1"/>
  <c r="F48" i="3"/>
  <c r="C47" i="3"/>
  <c r="D47" i="3" s="1"/>
  <c r="E45" i="3"/>
  <c r="J44" i="3"/>
  <c r="B44" i="3"/>
  <c r="L44" i="3" s="1"/>
  <c r="B49" i="3"/>
  <c r="L49" i="3" s="1"/>
  <c r="F45" i="3"/>
  <c r="B41" i="3"/>
  <c r="L41" i="3" s="1"/>
  <c r="B40" i="3"/>
  <c r="L40" i="3" s="1"/>
  <c r="E37" i="3"/>
  <c r="F36" i="3"/>
  <c r="J32" i="3"/>
  <c r="B32" i="3"/>
  <c r="L32" i="3" s="1"/>
  <c r="C31" i="3"/>
  <c r="D31" i="3" s="1"/>
  <c r="E29" i="3"/>
  <c r="F28" i="3"/>
  <c r="F23" i="3"/>
  <c r="G23" i="3" s="1"/>
  <c r="C22" i="3"/>
  <c r="D22" i="3" s="1"/>
  <c r="E20" i="3"/>
  <c r="E48" i="3"/>
  <c r="J47" i="3"/>
  <c r="K47" i="3" s="1"/>
  <c r="E42" i="3"/>
  <c r="C39" i="3"/>
  <c r="D39" i="3" s="1"/>
  <c r="E36" i="3"/>
  <c r="F35" i="3"/>
  <c r="J31" i="3"/>
  <c r="K31" i="3" s="1"/>
  <c r="B31" i="3"/>
  <c r="L31" i="3" s="1"/>
  <c r="C30" i="3"/>
  <c r="D30" i="3" s="1"/>
  <c r="E28" i="3"/>
  <c r="F27" i="3"/>
  <c r="C48" i="3"/>
  <c r="D48" i="3" s="1"/>
  <c r="B45" i="3"/>
  <c r="L45" i="3" s="1"/>
  <c r="C42" i="3"/>
  <c r="D42" i="3" s="1"/>
  <c r="B39" i="3"/>
  <c r="L39" i="3" s="1"/>
  <c r="F38" i="3"/>
  <c r="C37" i="3"/>
  <c r="D37" i="3" s="1"/>
  <c r="E35" i="3"/>
  <c r="F34" i="3"/>
  <c r="J30" i="3"/>
  <c r="K30" i="3" s="1"/>
  <c r="B30" i="3"/>
  <c r="L30" i="3" s="1"/>
  <c r="C29" i="3"/>
  <c r="D29" i="3" s="1"/>
  <c r="E27" i="3"/>
  <c r="F26" i="3"/>
  <c r="F47" i="3"/>
  <c r="E44" i="3"/>
  <c r="J43" i="3"/>
  <c r="B42" i="3"/>
  <c r="L42" i="3" s="1"/>
  <c r="J41" i="3"/>
  <c r="K41" i="3" s="1"/>
  <c r="J39" i="3"/>
  <c r="K39" i="3" s="1"/>
  <c r="E38" i="3"/>
  <c r="J37" i="3"/>
  <c r="K37" i="3" s="1"/>
  <c r="B37" i="3"/>
  <c r="L37" i="3" s="1"/>
  <c r="C36" i="3"/>
  <c r="D36" i="3" s="1"/>
  <c r="E34" i="3"/>
  <c r="F33" i="3"/>
  <c r="J29" i="3"/>
  <c r="K29" i="3" s="1"/>
  <c r="B29" i="3"/>
  <c r="L29" i="3" s="1"/>
  <c r="C28" i="3"/>
  <c r="D28" i="3" s="1"/>
  <c r="E26" i="3"/>
  <c r="F25" i="3"/>
  <c r="J53" i="3"/>
  <c r="K53" i="3" s="1"/>
  <c r="J51" i="3"/>
  <c r="K51" i="3" s="1"/>
  <c r="J49" i="3"/>
  <c r="K49" i="3" s="1"/>
  <c r="C44" i="3"/>
  <c r="D44" i="3" s="1"/>
  <c r="F40" i="3"/>
  <c r="J36" i="3"/>
  <c r="K36" i="3" s="1"/>
  <c r="B36" i="3"/>
  <c r="L36" i="3" s="1"/>
  <c r="C35" i="3"/>
  <c r="D35" i="3" s="1"/>
  <c r="E33" i="3"/>
  <c r="F32" i="3"/>
  <c r="J28" i="3"/>
  <c r="K28" i="3" s="1"/>
  <c r="B28" i="3"/>
  <c r="L28" i="3" s="1"/>
  <c r="C27" i="3"/>
  <c r="D27" i="3" s="1"/>
  <c r="E25" i="3"/>
  <c r="E24" i="3"/>
  <c r="J23" i="3"/>
  <c r="K23" i="3" s="1"/>
  <c r="B23" i="3"/>
  <c r="L23" i="3" s="1"/>
  <c r="F51" i="3"/>
  <c r="B47" i="3"/>
  <c r="L47" i="3" s="1"/>
  <c r="F43" i="3"/>
  <c r="E40" i="3"/>
  <c r="C38" i="3"/>
  <c r="D38" i="3" s="1"/>
  <c r="J35" i="3"/>
  <c r="K35" i="3" s="1"/>
  <c r="B35" i="3"/>
  <c r="L35" i="3" s="1"/>
  <c r="C34" i="3"/>
  <c r="D34" i="3" s="1"/>
  <c r="E32" i="3"/>
  <c r="F31" i="3"/>
  <c r="E52" i="3"/>
  <c r="C50" i="3"/>
  <c r="D50" i="3" s="1"/>
  <c r="F49" i="3"/>
  <c r="E46" i="3"/>
  <c r="J45" i="3"/>
  <c r="K45" i="3" s="1"/>
  <c r="J42" i="3"/>
  <c r="K42" i="3" s="1"/>
  <c r="F41" i="3"/>
  <c r="J38" i="3"/>
  <c r="K38" i="3" s="1"/>
  <c r="B38" i="3"/>
  <c r="L38" i="3" s="1"/>
  <c r="J34" i="3"/>
  <c r="K34" i="3" s="1"/>
  <c r="B34" i="3"/>
  <c r="L34" i="3" s="1"/>
  <c r="C33" i="3"/>
  <c r="D33" i="3" s="1"/>
  <c r="E31" i="3"/>
  <c r="F30" i="3"/>
  <c r="J26" i="3"/>
  <c r="B26" i="3"/>
  <c r="L26" i="3" s="1"/>
  <c r="C25" i="3"/>
  <c r="D25" i="3" s="1"/>
  <c r="C24" i="3"/>
  <c r="D24" i="3" s="1"/>
  <c r="E22" i="3"/>
  <c r="J21" i="3"/>
  <c r="K21" i="3" s="1"/>
  <c r="B21" i="3"/>
  <c r="L21" i="3" s="1"/>
  <c r="B46" i="5"/>
  <c r="C41" i="5"/>
  <c r="B40" i="5"/>
  <c r="C49" i="5"/>
  <c r="C45" i="5"/>
  <c r="C42" i="5"/>
  <c r="B41" i="5"/>
  <c r="C48" i="5"/>
  <c r="C44" i="5"/>
  <c r="B43" i="5"/>
  <c r="B48" i="5"/>
  <c r="B44" i="5"/>
  <c r="C47" i="5"/>
  <c r="B47" i="5"/>
  <c r="C46" i="5"/>
  <c r="C40" i="5"/>
  <c r="B49" i="5"/>
  <c r="B45" i="5"/>
  <c r="C43" i="5"/>
  <c r="B42" i="5"/>
  <c r="F42" i="5"/>
  <c r="I40" i="5"/>
  <c r="I41" i="5"/>
  <c r="H40" i="5"/>
  <c r="I42" i="5"/>
  <c r="H41" i="5"/>
  <c r="G40" i="5"/>
  <c r="H42" i="5"/>
  <c r="G41" i="5"/>
  <c r="F40" i="5"/>
  <c r="G42" i="5"/>
  <c r="F41" i="5"/>
  <c r="F5" i="3"/>
  <c r="C6" i="3"/>
  <c r="D6" i="3" s="1"/>
  <c r="E8" i="3"/>
  <c r="Q8" i="3"/>
  <c r="X9" i="3" a="1"/>
  <c r="X9" i="3" s="1"/>
  <c r="C10" i="3"/>
  <c r="D10" i="3" s="1"/>
  <c r="B11" i="3"/>
  <c r="L11" i="3" s="1"/>
  <c r="J11" i="3"/>
  <c r="K11" i="3" s="1"/>
  <c r="W11" i="3" a="1"/>
  <c r="W11" i="3" s="1"/>
  <c r="AA11" i="3" a="1"/>
  <c r="AA11" i="3" s="1"/>
  <c r="Z13" i="3" a="1"/>
  <c r="Z13" i="3" s="1"/>
  <c r="S14" i="3"/>
  <c r="F15" i="3"/>
  <c r="Y15" i="3" a="1"/>
  <c r="Y15" i="3" s="1"/>
  <c r="E16" i="3"/>
  <c r="B18" i="3"/>
  <c r="L18" i="3" s="1"/>
  <c r="J18" i="3"/>
  <c r="K18" i="3" s="1"/>
  <c r="Y18" i="3" a="1"/>
  <c r="Y18" i="3" s="1"/>
  <c r="F19" i="3"/>
  <c r="X19" i="3" a="1"/>
  <c r="X19" i="3" s="1"/>
  <c r="Z20" i="3" a="1"/>
  <c r="Z20" i="3" s="1"/>
  <c r="B25" i="3"/>
  <c r="L25" i="3" s="1"/>
  <c r="J27" i="3"/>
  <c r="K27" i="3" s="1"/>
  <c r="Z35" i="3" a="1"/>
  <c r="Z35" i="3" s="1"/>
  <c r="W68" i="3" a="1"/>
  <c r="W68" i="3" s="1"/>
  <c r="B4" i="4"/>
  <c r="B4" i="3"/>
  <c r="L4" i="3" s="1"/>
  <c r="J4" i="3"/>
  <c r="K4" i="3" s="1"/>
  <c r="E7" i="3"/>
  <c r="Q7" i="3"/>
  <c r="F8" i="3"/>
  <c r="R8" i="3"/>
  <c r="Y8" i="3" a="1"/>
  <c r="Y8" i="3" s="1"/>
  <c r="E9" i="3"/>
  <c r="Q9" i="3"/>
  <c r="X10" i="3" a="1"/>
  <c r="X10" i="3" s="1"/>
  <c r="C11" i="3"/>
  <c r="D11" i="3" s="1"/>
  <c r="B12" i="3"/>
  <c r="L12" i="3" s="1"/>
  <c r="J12" i="3"/>
  <c r="W12" i="3" a="1"/>
  <c r="W12" i="3" s="1"/>
  <c r="AA12" i="3" a="1"/>
  <c r="AA12" i="3" s="1"/>
  <c r="Z14" i="3" a="1"/>
  <c r="Z14" i="3" s="1"/>
  <c r="S15" i="3"/>
  <c r="F16" i="3"/>
  <c r="W16" i="3" a="1"/>
  <c r="W16" i="3" s="1"/>
  <c r="AA16" i="3" a="1"/>
  <c r="AA16" i="3" s="1"/>
  <c r="X17" i="3" a="1"/>
  <c r="X17" i="3" s="1"/>
  <c r="C18" i="3"/>
  <c r="D18" i="3" s="1"/>
  <c r="J20" i="3"/>
  <c r="K20" i="3" s="1"/>
  <c r="AA20" i="3" a="1"/>
  <c r="AA20" i="3" s="1"/>
  <c r="W21" i="3" a="1"/>
  <c r="W21" i="3" s="1"/>
  <c r="F22" i="3"/>
  <c r="Y22" i="3" a="1"/>
  <c r="Y22" i="3" s="1"/>
  <c r="B24" i="3"/>
  <c r="L24" i="3" s="1"/>
  <c r="W25" i="3" a="1"/>
  <c r="W25" i="3" s="1"/>
  <c r="Q27" i="3"/>
  <c r="F29" i="3"/>
  <c r="B33" i="3"/>
  <c r="L33" i="3" s="1"/>
  <c r="B43" i="3"/>
  <c r="L43" i="3" s="1"/>
  <c r="B6" i="5"/>
  <c r="B5" i="5"/>
  <c r="B4" i="5"/>
  <c r="B3" i="5"/>
  <c r="B7" i="5"/>
  <c r="B5" i="7"/>
  <c r="B15" i="4"/>
  <c r="C4" i="3"/>
  <c r="D4" i="3" s="1"/>
  <c r="E6" i="3"/>
  <c r="Q6" i="3"/>
  <c r="F7" i="3"/>
  <c r="R7" i="3"/>
  <c r="S8" i="3"/>
  <c r="F9" i="3"/>
  <c r="R9" i="3"/>
  <c r="Y9" i="3" a="1"/>
  <c r="Y9" i="3" s="1"/>
  <c r="E10" i="3"/>
  <c r="Q10" i="3"/>
  <c r="X11" i="3" a="1"/>
  <c r="X11" i="3" s="1"/>
  <c r="C12" i="3"/>
  <c r="D12" i="3" s="1"/>
  <c r="B13" i="3"/>
  <c r="L13" i="3" s="1"/>
  <c r="J13" i="3"/>
  <c r="K13" i="3" s="1"/>
  <c r="W13" i="3" a="1"/>
  <c r="W13" i="3" s="1"/>
  <c r="AA13" i="3" a="1"/>
  <c r="AA13" i="3" s="1"/>
  <c r="Z15" i="3" a="1"/>
  <c r="Z15" i="3" s="1"/>
  <c r="B17" i="3"/>
  <c r="L17" i="3" s="1"/>
  <c r="J17" i="3"/>
  <c r="K17" i="3" s="1"/>
  <c r="Z18" i="3" a="1"/>
  <c r="Z18" i="3" s="1"/>
  <c r="C21" i="3"/>
  <c r="D21" i="3" s="1"/>
  <c r="Z22" i="3" a="1"/>
  <c r="Z22" i="3" s="1"/>
  <c r="X25" i="3" a="1"/>
  <c r="X25" i="3" s="1"/>
  <c r="Q29" i="3"/>
  <c r="R29" i="3" s="1"/>
  <c r="Q31" i="3"/>
  <c r="R31" i="3" s="1"/>
  <c r="J33" i="3"/>
  <c r="K33" i="3" s="1"/>
  <c r="F39" i="3"/>
  <c r="Y43" i="3" a="1"/>
  <c r="Y43" i="3" s="1"/>
  <c r="AA49" i="3" a="1"/>
  <c r="AA49" i="3" s="1"/>
  <c r="B33" i="5"/>
  <c r="B31" i="5"/>
  <c r="B29" i="5"/>
  <c r="B27" i="5"/>
  <c r="E27" i="5" s="1"/>
  <c r="B25" i="5"/>
  <c r="B23" i="5"/>
  <c r="B21" i="5"/>
  <c r="C32" i="5"/>
  <c r="C30" i="5"/>
  <c r="C28" i="5"/>
  <c r="C26" i="5"/>
  <c r="C24" i="5"/>
  <c r="C22" i="5"/>
  <c r="B32" i="5"/>
  <c r="B30" i="5"/>
  <c r="B28" i="5"/>
  <c r="B26" i="5"/>
  <c r="E26" i="5" s="1"/>
  <c r="B24" i="5"/>
  <c r="B22" i="5"/>
  <c r="D33" i="5"/>
  <c r="D31" i="5"/>
  <c r="D29" i="5"/>
  <c r="D27" i="5"/>
  <c r="D25" i="5"/>
  <c r="D23" i="5"/>
  <c r="D21" i="5"/>
  <c r="C33" i="5"/>
  <c r="C31" i="5"/>
  <c r="C29" i="5"/>
  <c r="C27" i="5"/>
  <c r="C25" i="5"/>
  <c r="C23" i="5"/>
  <c r="C21" i="5"/>
  <c r="D32" i="5"/>
  <c r="D30" i="5"/>
  <c r="D28" i="5"/>
  <c r="D26" i="5"/>
  <c r="D24" i="5"/>
  <c r="D22" i="5"/>
  <c r="Q34" i="3"/>
  <c r="Q26" i="3"/>
  <c r="R26" i="3" s="1"/>
  <c r="Q33" i="3"/>
  <c r="Q25" i="3"/>
  <c r="R25" i="3" s="1"/>
  <c r="Q30" i="3"/>
  <c r="R30" i="3" s="1"/>
  <c r="P30" i="3"/>
  <c r="D216" i="3" a="1"/>
  <c r="D216" i="3" s="1"/>
  <c r="E215" i="3" a="1"/>
  <c r="E215" i="3" s="1"/>
  <c r="A215" i="3" a="1"/>
  <c r="A215" i="3" s="1"/>
  <c r="B214" i="3" a="1"/>
  <c r="B214" i="3" s="1"/>
  <c r="C213" i="3" a="1"/>
  <c r="C213" i="3" s="1"/>
  <c r="D212" i="3" a="1"/>
  <c r="D212" i="3" s="1"/>
  <c r="E211" i="3" a="1"/>
  <c r="E211" i="3" s="1"/>
  <c r="A211" i="3" a="1"/>
  <c r="A211" i="3" s="1"/>
  <c r="B210" i="3" a="1"/>
  <c r="B210" i="3" s="1"/>
  <c r="C209" i="3" a="1"/>
  <c r="C209" i="3" s="1"/>
  <c r="D208" i="3" a="1"/>
  <c r="D208" i="3" s="1"/>
  <c r="AA138" i="3" a="1"/>
  <c r="AA138" i="3" s="1"/>
  <c r="W138" i="3" a="1"/>
  <c r="W138" i="3" s="1"/>
  <c r="X137" i="3" a="1"/>
  <c r="X137" i="3" s="1"/>
  <c r="Y136" i="3" a="1"/>
  <c r="Y136" i="3" s="1"/>
  <c r="Z135" i="3" a="1"/>
  <c r="Z135" i="3" s="1"/>
  <c r="AA134" i="3" a="1"/>
  <c r="AA134" i="3" s="1"/>
  <c r="W134" i="3" a="1"/>
  <c r="W134" i="3" s="1"/>
  <c r="X133" i="3" a="1"/>
  <c r="X133" i="3" s="1"/>
  <c r="Y132" i="3" a="1"/>
  <c r="Y132" i="3" s="1"/>
  <c r="Z131" i="3" a="1"/>
  <c r="Z131" i="3" s="1"/>
  <c r="AA130" i="3" a="1"/>
  <c r="AA130" i="3" s="1"/>
  <c r="W130" i="3" a="1"/>
  <c r="W130" i="3" s="1"/>
  <c r="X129" i="3" a="1"/>
  <c r="X129" i="3" s="1"/>
  <c r="Y128" i="3" a="1"/>
  <c r="Y128" i="3" s="1"/>
  <c r="Z127" i="3" a="1"/>
  <c r="Z127" i="3" s="1"/>
  <c r="AA126" i="3" a="1"/>
  <c r="AA126" i="3" s="1"/>
  <c r="W126" i="3" a="1"/>
  <c r="W126" i="3" s="1"/>
  <c r="X125" i="3" a="1"/>
  <c r="X125" i="3" s="1"/>
  <c r="Z138" i="3" a="1"/>
  <c r="Z138" i="3" s="1"/>
  <c r="AA137" i="3" a="1"/>
  <c r="AA137" i="3" s="1"/>
  <c r="W137" i="3" a="1"/>
  <c r="W137" i="3" s="1"/>
  <c r="X136" i="3" a="1"/>
  <c r="X136" i="3" s="1"/>
  <c r="Y135" i="3" a="1"/>
  <c r="Y135" i="3" s="1"/>
  <c r="Z134" i="3" a="1"/>
  <c r="Z134" i="3" s="1"/>
  <c r="AA133" i="3" a="1"/>
  <c r="AA133" i="3" s="1"/>
  <c r="W133" i="3" a="1"/>
  <c r="W133" i="3" s="1"/>
  <c r="X132" i="3" a="1"/>
  <c r="X132" i="3" s="1"/>
  <c r="Y131" i="3" a="1"/>
  <c r="Y131" i="3" s="1"/>
  <c r="Z130" i="3" a="1"/>
  <c r="Z130" i="3" s="1"/>
  <c r="AA129" i="3" a="1"/>
  <c r="AA129" i="3" s="1"/>
  <c r="W129" i="3" a="1"/>
  <c r="W129" i="3" s="1"/>
  <c r="B216" i="3" a="1"/>
  <c r="B216" i="3" s="1"/>
  <c r="C215" i="3" a="1"/>
  <c r="C215" i="3" s="1"/>
  <c r="D214" i="3" a="1"/>
  <c r="D214" i="3" s="1"/>
  <c r="E213" i="3" a="1"/>
  <c r="E213" i="3" s="1"/>
  <c r="A213" i="3" a="1"/>
  <c r="A213" i="3" s="1"/>
  <c r="B212" i="3" a="1"/>
  <c r="B212" i="3" s="1"/>
  <c r="C211" i="3" a="1"/>
  <c r="C211" i="3" s="1"/>
  <c r="D210" i="3" a="1"/>
  <c r="D210" i="3" s="1"/>
  <c r="E209" i="3" a="1"/>
  <c r="E209" i="3" s="1"/>
  <c r="A209" i="3" a="1"/>
  <c r="A209" i="3" s="1"/>
  <c r="B208" i="3" a="1"/>
  <c r="B208" i="3" s="1"/>
  <c r="Y138" i="3" a="1"/>
  <c r="Y138" i="3" s="1"/>
  <c r="Z137" i="3" a="1"/>
  <c r="Z137" i="3" s="1"/>
  <c r="AA136" i="3" a="1"/>
  <c r="AA136" i="3" s="1"/>
  <c r="W136" i="3" a="1"/>
  <c r="W136" i="3" s="1"/>
  <c r="X135" i="3" a="1"/>
  <c r="X135" i="3" s="1"/>
  <c r="Y134" i="3" a="1"/>
  <c r="Y134" i="3" s="1"/>
  <c r="Z133" i="3" a="1"/>
  <c r="Z133" i="3" s="1"/>
  <c r="AA132" i="3" a="1"/>
  <c r="AA132" i="3" s="1"/>
  <c r="W132" i="3" a="1"/>
  <c r="W132" i="3" s="1"/>
  <c r="X131" i="3" a="1"/>
  <c r="X131" i="3" s="1"/>
  <c r="Y130" i="3" a="1"/>
  <c r="Y130" i="3" s="1"/>
  <c r="Z129" i="3" a="1"/>
  <c r="Z129" i="3" s="1"/>
  <c r="AA128" i="3" a="1"/>
  <c r="AA128" i="3" s="1"/>
  <c r="W128" i="3" a="1"/>
  <c r="W128" i="3" s="1"/>
  <c r="X127" i="3" a="1"/>
  <c r="X127" i="3" s="1"/>
  <c r="Y126" i="3" a="1"/>
  <c r="Y126" i="3" s="1"/>
  <c r="Z125" i="3" a="1"/>
  <c r="Z125" i="3" s="1"/>
  <c r="AA124" i="3" a="1"/>
  <c r="AA124" i="3" s="1"/>
  <c r="W124" i="3" a="1"/>
  <c r="W124" i="3" s="1"/>
  <c r="E216" i="3" a="1"/>
  <c r="E216" i="3" s="1"/>
  <c r="A216" i="3" a="1"/>
  <c r="A216" i="3" s="1"/>
  <c r="B215" i="3" a="1"/>
  <c r="B215" i="3" s="1"/>
  <c r="C214" i="3" a="1"/>
  <c r="C214" i="3" s="1"/>
  <c r="D213" i="3" a="1"/>
  <c r="D213" i="3" s="1"/>
  <c r="E212" i="3" a="1"/>
  <c r="E212" i="3" s="1"/>
  <c r="A212" i="3" a="1"/>
  <c r="A212" i="3" s="1"/>
  <c r="B211" i="3" a="1"/>
  <c r="B211" i="3" s="1"/>
  <c r="C210" i="3" a="1"/>
  <c r="C210" i="3" s="1"/>
  <c r="D209" i="3" a="1"/>
  <c r="D209" i="3" s="1"/>
  <c r="X138" i="3" a="1"/>
  <c r="X138" i="3" s="1"/>
  <c r="Y137" i="3" a="1"/>
  <c r="Y137" i="3" s="1"/>
  <c r="Z136" i="3" a="1"/>
  <c r="Z136" i="3" s="1"/>
  <c r="AA135" i="3" a="1"/>
  <c r="AA135" i="3" s="1"/>
  <c r="W135" i="3" a="1"/>
  <c r="W135" i="3" s="1"/>
  <c r="X134" i="3" a="1"/>
  <c r="X134" i="3" s="1"/>
  <c r="Y133" i="3" a="1"/>
  <c r="Y133" i="3" s="1"/>
  <c r="Z132" i="3" a="1"/>
  <c r="Z132" i="3" s="1"/>
  <c r="AA131" i="3" a="1"/>
  <c r="AA131" i="3" s="1"/>
  <c r="W131" i="3" a="1"/>
  <c r="W131" i="3" s="1"/>
  <c r="X130" i="3" a="1"/>
  <c r="X130" i="3" s="1"/>
  <c r="Y129" i="3" a="1"/>
  <c r="Y129" i="3" s="1"/>
  <c r="C216" i="3" a="1"/>
  <c r="C216" i="3" s="1"/>
  <c r="A210" i="3" a="1"/>
  <c r="A210" i="3" s="1"/>
  <c r="Y125" i="3" a="1"/>
  <c r="Y125" i="3" s="1"/>
  <c r="X123" i="3" a="1"/>
  <c r="X123" i="3" s="1"/>
  <c r="Y121" i="3" a="1"/>
  <c r="Y121" i="3" s="1"/>
  <c r="Z119" i="3" a="1"/>
  <c r="Z119" i="3" s="1"/>
  <c r="AA117" i="3" a="1"/>
  <c r="AA117" i="3" s="1"/>
  <c r="AA116" i="3" a="1"/>
  <c r="AA116" i="3" s="1"/>
  <c r="W115" i="3" a="1"/>
  <c r="W115" i="3" s="1"/>
  <c r="X113" i="3" a="1"/>
  <c r="X113" i="3" s="1"/>
  <c r="Y111" i="3" a="1"/>
  <c r="Y111" i="3" s="1"/>
  <c r="Y110" i="3" a="1"/>
  <c r="Y110" i="3" s="1"/>
  <c r="Z108" i="3" a="1"/>
  <c r="Z108" i="3" s="1"/>
  <c r="AA106" i="3" a="1"/>
  <c r="AA106" i="3" s="1"/>
  <c r="W105" i="3" a="1"/>
  <c r="W105" i="3" s="1"/>
  <c r="W104" i="3" a="1"/>
  <c r="W104" i="3" s="1"/>
  <c r="X102" i="3" a="1"/>
  <c r="X102" i="3" s="1"/>
  <c r="Y100" i="3" a="1"/>
  <c r="Y100" i="3" s="1"/>
  <c r="Z98" i="3" a="1"/>
  <c r="Z98" i="3" s="1"/>
  <c r="Z97" i="3" a="1"/>
  <c r="Z97" i="3" s="1"/>
  <c r="AA95" i="3" a="1"/>
  <c r="AA95" i="3" s="1"/>
  <c r="W94" i="3" a="1"/>
  <c r="W94" i="3" s="1"/>
  <c r="X92" i="3" a="1"/>
  <c r="X92" i="3" s="1"/>
  <c r="Y91" i="3" a="1"/>
  <c r="Y91" i="3" s="1"/>
  <c r="D215" i="3" a="1"/>
  <c r="D215" i="3" s="1"/>
  <c r="B209" i="3" a="1"/>
  <c r="B209" i="3" s="1"/>
  <c r="AA127" i="3" a="1"/>
  <c r="AA127" i="3" s="1"/>
  <c r="Z126" i="3" a="1"/>
  <c r="Z126" i="3" s="1"/>
  <c r="X124" i="3" a="1"/>
  <c r="X124" i="3" s="1"/>
  <c r="X122" i="3" a="1"/>
  <c r="X122" i="3" s="1"/>
  <c r="Y120" i="3" a="1"/>
  <c r="Y120" i="3" s="1"/>
  <c r="Z118" i="3" a="1"/>
  <c r="Z118" i="3" s="1"/>
  <c r="Z117" i="3" a="1"/>
  <c r="Z117" i="3" s="1"/>
  <c r="AA115" i="3" a="1"/>
  <c r="AA115" i="3" s="1"/>
  <c r="W114" i="3" a="1"/>
  <c r="W114" i="3" s="1"/>
  <c r="X112" i="3" a="1"/>
  <c r="X112" i="3" s="1"/>
  <c r="X111" i="3" a="1"/>
  <c r="X111" i="3" s="1"/>
  <c r="Y109" i="3" a="1"/>
  <c r="Y109" i="3" s="1"/>
  <c r="Z107" i="3" a="1"/>
  <c r="Z107" i="3" s="1"/>
  <c r="AA105" i="3" a="1"/>
  <c r="AA105" i="3" s="1"/>
  <c r="AA104" i="3" a="1"/>
  <c r="AA104" i="3" s="1"/>
  <c r="W103" i="3" a="1"/>
  <c r="W103" i="3" s="1"/>
  <c r="X101" i="3" a="1"/>
  <c r="X101" i="3" s="1"/>
  <c r="Y99" i="3" a="1"/>
  <c r="Y99" i="3" s="1"/>
  <c r="Y98" i="3" a="1"/>
  <c r="Y98" i="3" s="1"/>
  <c r="Z96" i="3" a="1"/>
  <c r="Z96" i="3" s="1"/>
  <c r="AA94" i="3" a="1"/>
  <c r="AA94" i="3" s="1"/>
  <c r="W93" i="3" a="1"/>
  <c r="W93" i="3" s="1"/>
  <c r="E214" i="3" a="1"/>
  <c r="E214" i="3" s="1"/>
  <c r="E208" i="3" a="1"/>
  <c r="E208" i="3" s="1"/>
  <c r="W123" i="3" a="1"/>
  <c r="W123" i="3" s="1"/>
  <c r="X121" i="3" a="1"/>
  <c r="X121" i="3" s="1"/>
  <c r="Y119" i="3" a="1"/>
  <c r="Y119" i="3" s="1"/>
  <c r="Y118" i="3" a="1"/>
  <c r="Y118" i="3" s="1"/>
  <c r="Z116" i="3" a="1"/>
  <c r="Z116" i="3" s="1"/>
  <c r="AA114" i="3" a="1"/>
  <c r="AA114" i="3" s="1"/>
  <c r="W113" i="3" a="1"/>
  <c r="W113" i="3" s="1"/>
  <c r="W112" i="3" a="1"/>
  <c r="W112" i="3" s="1"/>
  <c r="X110" i="3" a="1"/>
  <c r="X110" i="3" s="1"/>
  <c r="Y108" i="3" a="1"/>
  <c r="Y108" i="3" s="1"/>
  <c r="Z106" i="3" a="1"/>
  <c r="Z106" i="3" s="1"/>
  <c r="Z105" i="3" a="1"/>
  <c r="Z105" i="3" s="1"/>
  <c r="AA103" i="3" a="1"/>
  <c r="AA103" i="3" s="1"/>
  <c r="W102" i="3" a="1"/>
  <c r="W102" i="3" s="1"/>
  <c r="X100" i="3" a="1"/>
  <c r="X100" i="3" s="1"/>
  <c r="X99" i="3" a="1"/>
  <c r="X99" i="3" s="1"/>
  <c r="Y97" i="3" a="1"/>
  <c r="Y97" i="3" s="1"/>
  <c r="Z95" i="3" a="1"/>
  <c r="Z95" i="3" s="1"/>
  <c r="AA93" i="3" a="1"/>
  <c r="AA93" i="3" s="1"/>
  <c r="A214" i="3" a="1"/>
  <c r="A214" i="3" s="1"/>
  <c r="C208" i="3" a="1"/>
  <c r="C208" i="3" s="1"/>
  <c r="X126" i="3" a="1"/>
  <c r="X126" i="3" s="1"/>
  <c r="W125" i="3" a="1"/>
  <c r="W125" i="3" s="1"/>
  <c r="AA123" i="3" a="1"/>
  <c r="AA123" i="3" s="1"/>
  <c r="W122" i="3" a="1"/>
  <c r="W122" i="3" s="1"/>
  <c r="X120" i="3" a="1"/>
  <c r="X120" i="3" s="1"/>
  <c r="X119" i="3" a="1"/>
  <c r="X119" i="3" s="1"/>
  <c r="Y117" i="3" a="1"/>
  <c r="Y117" i="3" s="1"/>
  <c r="Z115" i="3" a="1"/>
  <c r="Z115" i="3" s="1"/>
  <c r="AA113" i="3" a="1"/>
  <c r="AA113" i="3" s="1"/>
  <c r="AA112" i="3" a="1"/>
  <c r="AA112" i="3" s="1"/>
  <c r="W111" i="3" a="1"/>
  <c r="W111" i="3" s="1"/>
  <c r="X109" i="3" a="1"/>
  <c r="X109" i="3" s="1"/>
  <c r="Y107" i="3" a="1"/>
  <c r="Y107" i="3" s="1"/>
  <c r="Y106" i="3" a="1"/>
  <c r="Y106" i="3" s="1"/>
  <c r="Z104" i="3" a="1"/>
  <c r="Z104" i="3" s="1"/>
  <c r="AA102" i="3" a="1"/>
  <c r="AA102" i="3" s="1"/>
  <c r="W101" i="3" a="1"/>
  <c r="W101" i="3" s="1"/>
  <c r="W100" i="3" a="1"/>
  <c r="W100" i="3" s="1"/>
  <c r="X98" i="3" a="1"/>
  <c r="X98" i="3" s="1"/>
  <c r="Y96" i="3" a="1"/>
  <c r="Y96" i="3" s="1"/>
  <c r="Z94" i="3" a="1"/>
  <c r="Z94" i="3" s="1"/>
  <c r="Z93" i="3" a="1"/>
  <c r="Z93" i="3" s="1"/>
  <c r="B213" i="3" a="1"/>
  <c r="B213" i="3" s="1"/>
  <c r="A208" i="3" a="1"/>
  <c r="A208" i="3" s="1"/>
  <c r="Z128" i="3" a="1"/>
  <c r="Z128" i="3" s="1"/>
  <c r="Y127" i="3" a="1"/>
  <c r="Y127" i="3" s="1"/>
  <c r="AA122" i="3" a="1"/>
  <c r="AA122" i="3" s="1"/>
  <c r="W121" i="3" a="1"/>
  <c r="W121" i="3" s="1"/>
  <c r="W120" i="3" a="1"/>
  <c r="W120" i="3" s="1"/>
  <c r="X118" i="3" a="1"/>
  <c r="X118" i="3" s="1"/>
  <c r="Y116" i="3" a="1"/>
  <c r="Y116" i="3" s="1"/>
  <c r="Z114" i="3" a="1"/>
  <c r="Z114" i="3" s="1"/>
  <c r="Z113" i="3" a="1"/>
  <c r="Z113" i="3" s="1"/>
  <c r="AA111" i="3" a="1"/>
  <c r="AA111" i="3" s="1"/>
  <c r="W110" i="3" a="1"/>
  <c r="W110" i="3" s="1"/>
  <c r="X108" i="3" a="1"/>
  <c r="X108" i="3" s="1"/>
  <c r="X107" i="3" a="1"/>
  <c r="X107" i="3" s="1"/>
  <c r="Y105" i="3" a="1"/>
  <c r="Y105" i="3" s="1"/>
  <c r="Z103" i="3" a="1"/>
  <c r="Z103" i="3" s="1"/>
  <c r="AA101" i="3" a="1"/>
  <c r="AA101" i="3" s="1"/>
  <c r="AA100" i="3" a="1"/>
  <c r="AA100" i="3" s="1"/>
  <c r="W99" i="3" a="1"/>
  <c r="W99" i="3" s="1"/>
  <c r="X97" i="3" a="1"/>
  <c r="X97" i="3" s="1"/>
  <c r="Y95" i="3" a="1"/>
  <c r="Y95" i="3" s="1"/>
  <c r="Y94" i="3" a="1"/>
  <c r="Y94" i="3" s="1"/>
  <c r="Z92" i="3" a="1"/>
  <c r="Z92" i="3" s="1"/>
  <c r="AA91" i="3" a="1"/>
  <c r="AA91" i="3" s="1"/>
  <c r="W91" i="3" a="1"/>
  <c r="W91" i="3" s="1"/>
  <c r="C212" i="3" a="1"/>
  <c r="C212" i="3" s="1"/>
  <c r="X139" i="3"/>
  <c r="Z124" i="3" a="1"/>
  <c r="Z124" i="3" s="1"/>
  <c r="Z123" i="3" a="1"/>
  <c r="Z123" i="3" s="1"/>
  <c r="AA121" i="3" a="1"/>
  <c r="AA121" i="3" s="1"/>
  <c r="AA120" i="3" a="1"/>
  <c r="AA120" i="3" s="1"/>
  <c r="W119" i="3" a="1"/>
  <c r="W119" i="3" s="1"/>
  <c r="X117" i="3" a="1"/>
  <c r="X117" i="3" s="1"/>
  <c r="Y115" i="3" a="1"/>
  <c r="Y115" i="3" s="1"/>
  <c r="Y114" i="3" a="1"/>
  <c r="Y114" i="3" s="1"/>
  <c r="Z112" i="3" a="1"/>
  <c r="Z112" i="3" s="1"/>
  <c r="AA110" i="3" a="1"/>
  <c r="AA110" i="3" s="1"/>
  <c r="W109" i="3" a="1"/>
  <c r="W109" i="3" s="1"/>
  <c r="W108" i="3" a="1"/>
  <c r="W108" i="3" s="1"/>
  <c r="X106" i="3" a="1"/>
  <c r="X106" i="3" s="1"/>
  <c r="Y104" i="3" a="1"/>
  <c r="Y104" i="3" s="1"/>
  <c r="Z102" i="3" a="1"/>
  <c r="Z102" i="3" s="1"/>
  <c r="Z101" i="3" a="1"/>
  <c r="Z101" i="3" s="1"/>
  <c r="AA99" i="3" a="1"/>
  <c r="AA99" i="3" s="1"/>
  <c r="W98" i="3" a="1"/>
  <c r="W98" i="3" s="1"/>
  <c r="X96" i="3" a="1"/>
  <c r="X96" i="3" s="1"/>
  <c r="X95" i="3" a="1"/>
  <c r="X95" i="3" s="1"/>
  <c r="Y93" i="3" a="1"/>
  <c r="Y93" i="3" s="1"/>
  <c r="D211" i="3" a="1"/>
  <c r="D211" i="3" s="1"/>
  <c r="W127" i="3" a="1"/>
  <c r="W127" i="3" s="1"/>
  <c r="AA125" i="3" a="1"/>
  <c r="AA125" i="3" s="1"/>
  <c r="Z122" i="3" a="1"/>
  <c r="Z122" i="3" s="1"/>
  <c r="Z121" i="3" a="1"/>
  <c r="Z121" i="3" s="1"/>
  <c r="AA119" i="3" a="1"/>
  <c r="AA119" i="3" s="1"/>
  <c r="W118" i="3" a="1"/>
  <c r="W118" i="3" s="1"/>
  <c r="X116" i="3" a="1"/>
  <c r="X116" i="3" s="1"/>
  <c r="X115" i="3" a="1"/>
  <c r="X115" i="3" s="1"/>
  <c r="Y113" i="3" a="1"/>
  <c r="Y113" i="3" s="1"/>
  <c r="Z111" i="3" a="1"/>
  <c r="Z111" i="3" s="1"/>
  <c r="AA109" i="3" a="1"/>
  <c r="AA109" i="3" s="1"/>
  <c r="AA108" i="3" a="1"/>
  <c r="AA108" i="3" s="1"/>
  <c r="W107" i="3" a="1"/>
  <c r="W107" i="3" s="1"/>
  <c r="X105" i="3" a="1"/>
  <c r="X105" i="3" s="1"/>
  <c r="Y103" i="3" a="1"/>
  <c r="Y103" i="3" s="1"/>
  <c r="Y102" i="3" a="1"/>
  <c r="Y102" i="3" s="1"/>
  <c r="Z100" i="3" a="1"/>
  <c r="Z100" i="3" s="1"/>
  <c r="AA98" i="3" a="1"/>
  <c r="AA98" i="3" s="1"/>
  <c r="W97" i="3" a="1"/>
  <c r="W97" i="3" s="1"/>
  <c r="W96" i="3" a="1"/>
  <c r="W96" i="3" s="1"/>
  <c r="X94" i="3" a="1"/>
  <c r="X94" i="3" s="1"/>
  <c r="Y92" i="3" a="1"/>
  <c r="Y92" i="3" s="1"/>
  <c r="Z91" i="3" a="1"/>
  <c r="Z91" i="3" s="1"/>
  <c r="AA90" i="3" a="1"/>
  <c r="AA90" i="3" s="1"/>
  <c r="X128" i="3" a="1"/>
  <c r="X128" i="3" s="1"/>
  <c r="Y112" i="3" a="1"/>
  <c r="Y112" i="3" s="1"/>
  <c r="AA97" i="3" a="1"/>
  <c r="AA97" i="3" s="1"/>
  <c r="AA89" i="3" a="1"/>
  <c r="AA89" i="3" s="1"/>
  <c r="W88" i="3" a="1"/>
  <c r="W88" i="3" s="1"/>
  <c r="X86" i="3" a="1"/>
  <c r="X86" i="3" s="1"/>
  <c r="X85" i="3" a="1"/>
  <c r="X85" i="3" s="1"/>
  <c r="Y83" i="3" a="1"/>
  <c r="Y83" i="3" s="1"/>
  <c r="Z81" i="3" a="1"/>
  <c r="Z81" i="3" s="1"/>
  <c r="AA79" i="3" a="1"/>
  <c r="AA79" i="3" s="1"/>
  <c r="AA78" i="3" a="1"/>
  <c r="AA78" i="3" s="1"/>
  <c r="W77" i="3" a="1"/>
  <c r="W77" i="3" s="1"/>
  <c r="X75" i="3" a="1"/>
  <c r="X75" i="3" s="1"/>
  <c r="Y73" i="3" a="1"/>
  <c r="Y73" i="3" s="1"/>
  <c r="Y72" i="3" a="1"/>
  <c r="Y72" i="3" s="1"/>
  <c r="Z70" i="3" a="1"/>
  <c r="Z70" i="3" s="1"/>
  <c r="AA68" i="3" a="1"/>
  <c r="AA68" i="3" s="1"/>
  <c r="W67" i="3" a="1"/>
  <c r="W67" i="3" s="1"/>
  <c r="W66" i="3" a="1"/>
  <c r="W66" i="3" s="1"/>
  <c r="X64" i="3" a="1"/>
  <c r="X64" i="3" s="1"/>
  <c r="Y62" i="3" a="1"/>
  <c r="Y62" i="3" s="1"/>
  <c r="X52" i="3" a="1"/>
  <c r="X52" i="3" s="1"/>
  <c r="Y50" i="3" a="1"/>
  <c r="Y50" i="3" s="1"/>
  <c r="Z48" i="3" a="1"/>
  <c r="Z48" i="3" s="1"/>
  <c r="AA46" i="3" a="1"/>
  <c r="AA46" i="3" s="1"/>
  <c r="W46" i="3" a="1"/>
  <c r="W46" i="3" s="1"/>
  <c r="X44" i="3" a="1"/>
  <c r="X44" i="3" s="1"/>
  <c r="Y42" i="3" a="1"/>
  <c r="Y42" i="3" s="1"/>
  <c r="AA118" i="3" a="1"/>
  <c r="AA118" i="3" s="1"/>
  <c r="X104" i="3" a="1"/>
  <c r="X104" i="3" s="1"/>
  <c r="AA96" i="3" a="1"/>
  <c r="AA96" i="3" s="1"/>
  <c r="Z90" i="3" a="1"/>
  <c r="Z90" i="3" s="1"/>
  <c r="AA88" i="3" a="1"/>
  <c r="AA88" i="3" s="1"/>
  <c r="W87" i="3" a="1"/>
  <c r="W87" i="3" s="1"/>
  <c r="W86" i="3" a="1"/>
  <c r="W86" i="3" s="1"/>
  <c r="X84" i="3" a="1"/>
  <c r="X84" i="3" s="1"/>
  <c r="Y82" i="3" a="1"/>
  <c r="Y82" i="3" s="1"/>
  <c r="Z80" i="3" a="1"/>
  <c r="Z80" i="3" s="1"/>
  <c r="Z79" i="3" a="1"/>
  <c r="Z79" i="3" s="1"/>
  <c r="AA77" i="3" a="1"/>
  <c r="AA77" i="3" s="1"/>
  <c r="W76" i="3" a="1"/>
  <c r="W76" i="3" s="1"/>
  <c r="X74" i="3" a="1"/>
  <c r="X74" i="3" s="1"/>
  <c r="X73" i="3" a="1"/>
  <c r="X73" i="3" s="1"/>
  <c r="Y71" i="3" a="1"/>
  <c r="Y71" i="3" s="1"/>
  <c r="Z69" i="3" a="1"/>
  <c r="Z69" i="3" s="1"/>
  <c r="AA67" i="3" a="1"/>
  <c r="AA67" i="3" s="1"/>
  <c r="AA66" i="3" a="1"/>
  <c r="AA66" i="3" s="1"/>
  <c r="W65" i="3" a="1"/>
  <c r="W65" i="3" s="1"/>
  <c r="X63" i="3" a="1"/>
  <c r="X63" i="3" s="1"/>
  <c r="Y61" i="3" a="1"/>
  <c r="Y61" i="3" s="1"/>
  <c r="Z60" i="3" a="1"/>
  <c r="Z60" i="3" s="1"/>
  <c r="AA59" i="3" a="1"/>
  <c r="AA59" i="3" s="1"/>
  <c r="W59" i="3" a="1"/>
  <c r="W59" i="3" s="1"/>
  <c r="X58" i="3" a="1"/>
  <c r="X58" i="3" s="1"/>
  <c r="Y57" i="3" a="1"/>
  <c r="Y57" i="3" s="1"/>
  <c r="Z56" i="3" a="1"/>
  <c r="Z56" i="3" s="1"/>
  <c r="AA55" i="3" a="1"/>
  <c r="AA55" i="3" s="1"/>
  <c r="W55" i="3" a="1"/>
  <c r="W55" i="3" s="1"/>
  <c r="X54" i="3" a="1"/>
  <c r="X54" i="3" s="1"/>
  <c r="E210" i="3" a="1"/>
  <c r="E210" i="3" s="1"/>
  <c r="Z110" i="3" a="1"/>
  <c r="Z110" i="3" s="1"/>
  <c r="X103" i="3" a="1"/>
  <c r="X103" i="3" s="1"/>
  <c r="W92" i="3" a="1"/>
  <c r="W92" i="3" s="1"/>
  <c r="Z89" i="3" a="1"/>
  <c r="Z89" i="3" s="1"/>
  <c r="AA87" i="3" a="1"/>
  <c r="AA87" i="3" s="1"/>
  <c r="AA86" i="3" a="1"/>
  <c r="AA86" i="3" s="1"/>
  <c r="W85" i="3" a="1"/>
  <c r="W85" i="3" s="1"/>
  <c r="X83" i="3" a="1"/>
  <c r="X83" i="3" s="1"/>
  <c r="Y81" i="3" a="1"/>
  <c r="Y81" i="3" s="1"/>
  <c r="Y80" i="3" a="1"/>
  <c r="Y80" i="3" s="1"/>
  <c r="Z78" i="3" a="1"/>
  <c r="Z78" i="3" s="1"/>
  <c r="AA76" i="3" a="1"/>
  <c r="AA76" i="3" s="1"/>
  <c r="W75" i="3" a="1"/>
  <c r="W75" i="3" s="1"/>
  <c r="W74" i="3" a="1"/>
  <c r="W74" i="3" s="1"/>
  <c r="X72" i="3" a="1"/>
  <c r="X72" i="3" s="1"/>
  <c r="Y70" i="3" a="1"/>
  <c r="Y70" i="3" s="1"/>
  <c r="Z68" i="3" a="1"/>
  <c r="Z68" i="3" s="1"/>
  <c r="Z67" i="3" a="1"/>
  <c r="Z67" i="3" s="1"/>
  <c r="AA65" i="3" a="1"/>
  <c r="AA65" i="3" s="1"/>
  <c r="W64" i="3" a="1"/>
  <c r="W64" i="3" s="1"/>
  <c r="X62" i="3" a="1"/>
  <c r="X62" i="3" s="1"/>
  <c r="AA52" i="3" a="1"/>
  <c r="AA52" i="3" s="1"/>
  <c r="W52" i="3" a="1"/>
  <c r="W52" i="3" s="1"/>
  <c r="X50" i="3" a="1"/>
  <c r="X50" i="3" s="1"/>
  <c r="Y48" i="3" a="1"/>
  <c r="Y48" i="3" s="1"/>
  <c r="Z46" i="3" a="1"/>
  <c r="Z46" i="3" s="1"/>
  <c r="AA44" i="3" a="1"/>
  <c r="AA44" i="3" s="1"/>
  <c r="W44" i="3" a="1"/>
  <c r="W44" i="3" s="1"/>
  <c r="X42" i="3" a="1"/>
  <c r="X42" i="3" s="1"/>
  <c r="Y40" i="3" a="1"/>
  <c r="Y40" i="3" s="1"/>
  <c r="Y124" i="3" a="1"/>
  <c r="Y124" i="3" s="1"/>
  <c r="W117" i="3" a="1"/>
  <c r="W117" i="3" s="1"/>
  <c r="Z109" i="3" a="1"/>
  <c r="Z109" i="3" s="1"/>
  <c r="W95" i="3" a="1"/>
  <c r="W95" i="3" s="1"/>
  <c r="Y90" i="3" a="1"/>
  <c r="Y90" i="3" s="1"/>
  <c r="Z88" i="3" a="1"/>
  <c r="Z88" i="3" s="1"/>
  <c r="Z87" i="3" a="1"/>
  <c r="Z87" i="3" s="1"/>
  <c r="AA85" i="3" a="1"/>
  <c r="AA85" i="3" s="1"/>
  <c r="W84" i="3" a="1"/>
  <c r="W84" i="3" s="1"/>
  <c r="X82" i="3" a="1"/>
  <c r="X82" i="3" s="1"/>
  <c r="X81" i="3" a="1"/>
  <c r="X81" i="3" s="1"/>
  <c r="Y79" i="3" a="1"/>
  <c r="Y79" i="3" s="1"/>
  <c r="Z77" i="3" a="1"/>
  <c r="Z77" i="3" s="1"/>
  <c r="AA75" i="3" a="1"/>
  <c r="AA75" i="3" s="1"/>
  <c r="AA74" i="3" a="1"/>
  <c r="AA74" i="3" s="1"/>
  <c r="W73" i="3" a="1"/>
  <c r="W73" i="3" s="1"/>
  <c r="X71" i="3" a="1"/>
  <c r="X71" i="3" s="1"/>
  <c r="Y69" i="3" a="1"/>
  <c r="Y69" i="3" s="1"/>
  <c r="Y68" i="3" a="1"/>
  <c r="Y68" i="3" s="1"/>
  <c r="Z66" i="3" a="1"/>
  <c r="Z66" i="3" s="1"/>
  <c r="AA64" i="3" a="1"/>
  <c r="AA64" i="3" s="1"/>
  <c r="W63" i="3" a="1"/>
  <c r="W63" i="3" s="1"/>
  <c r="W62" i="3" a="1"/>
  <c r="W62" i="3" s="1"/>
  <c r="X61" i="3" a="1"/>
  <c r="X61" i="3" s="1"/>
  <c r="Y60" i="3" a="1"/>
  <c r="Y60" i="3" s="1"/>
  <c r="Z59" i="3" a="1"/>
  <c r="Z59" i="3" s="1"/>
  <c r="AA58" i="3" a="1"/>
  <c r="AA58" i="3" s="1"/>
  <c r="W58" i="3" a="1"/>
  <c r="W58" i="3" s="1"/>
  <c r="X57" i="3" a="1"/>
  <c r="X57" i="3" s="1"/>
  <c r="Y56" i="3" a="1"/>
  <c r="Y56" i="3" s="1"/>
  <c r="Z55" i="3" a="1"/>
  <c r="Z55" i="3" s="1"/>
  <c r="AA54" i="3" a="1"/>
  <c r="AA54" i="3" s="1"/>
  <c r="W54" i="3" a="1"/>
  <c r="W54" i="3" s="1"/>
  <c r="Y123" i="3" a="1"/>
  <c r="Y123" i="3" s="1"/>
  <c r="W116" i="3" a="1"/>
  <c r="W116" i="3" s="1"/>
  <c r="Y101" i="3" a="1"/>
  <c r="Y101" i="3" s="1"/>
  <c r="Y89" i="3" a="1"/>
  <c r="Y89" i="3" s="1"/>
  <c r="Y88" i="3" a="1"/>
  <c r="Y88" i="3" s="1"/>
  <c r="Z86" i="3" a="1"/>
  <c r="Z86" i="3" s="1"/>
  <c r="AA84" i="3" a="1"/>
  <c r="AA84" i="3" s="1"/>
  <c r="W83" i="3" a="1"/>
  <c r="W83" i="3" s="1"/>
  <c r="W82" i="3" a="1"/>
  <c r="W82" i="3" s="1"/>
  <c r="X80" i="3" a="1"/>
  <c r="X80" i="3" s="1"/>
  <c r="Y78" i="3" a="1"/>
  <c r="Y78" i="3" s="1"/>
  <c r="Z76" i="3" a="1"/>
  <c r="Z76" i="3" s="1"/>
  <c r="Z75" i="3" a="1"/>
  <c r="Z75" i="3" s="1"/>
  <c r="AA73" i="3" a="1"/>
  <c r="AA73" i="3" s="1"/>
  <c r="W72" i="3" a="1"/>
  <c r="W72" i="3" s="1"/>
  <c r="X70" i="3" a="1"/>
  <c r="X70" i="3" s="1"/>
  <c r="X69" i="3" a="1"/>
  <c r="X69" i="3" s="1"/>
  <c r="Y67" i="3" a="1"/>
  <c r="Y67" i="3" s="1"/>
  <c r="Z65" i="3" a="1"/>
  <c r="Z65" i="3" s="1"/>
  <c r="AA63" i="3" a="1"/>
  <c r="AA63" i="3" s="1"/>
  <c r="AA62" i="3" a="1"/>
  <c r="AA62" i="3" s="1"/>
  <c r="Z52" i="3" a="1"/>
  <c r="Z52" i="3" s="1"/>
  <c r="AA50" i="3" a="1"/>
  <c r="AA50" i="3" s="1"/>
  <c r="W50" i="3" a="1"/>
  <c r="W50" i="3" s="1"/>
  <c r="X48" i="3" a="1"/>
  <c r="X48" i="3" s="1"/>
  <c r="Y46" i="3" a="1"/>
  <c r="Y46" i="3" s="1"/>
  <c r="Z44" i="3" a="1"/>
  <c r="Z44" i="3" s="1"/>
  <c r="AA42" i="3" a="1"/>
  <c r="AA42" i="3" s="1"/>
  <c r="W42" i="3" a="1"/>
  <c r="W42" i="3" s="1"/>
  <c r="X40" i="3" a="1"/>
  <c r="X40" i="3" s="1"/>
  <c r="Y38" i="3" a="1"/>
  <c r="Y38" i="3" s="1"/>
  <c r="Y122" i="3" a="1"/>
  <c r="Y122" i="3" s="1"/>
  <c r="AA107" i="3" a="1"/>
  <c r="AA107" i="3" s="1"/>
  <c r="X93" i="3" a="1"/>
  <c r="X93" i="3" s="1"/>
  <c r="X90" i="3" a="1"/>
  <c r="X90" i="3" s="1"/>
  <c r="X89" i="3" a="1"/>
  <c r="X89" i="3" s="1"/>
  <c r="Y87" i="3" a="1"/>
  <c r="Y87" i="3" s="1"/>
  <c r="Z85" i="3" a="1"/>
  <c r="Z85" i="3" s="1"/>
  <c r="AA83" i="3" a="1"/>
  <c r="AA83" i="3" s="1"/>
  <c r="AA82" i="3" a="1"/>
  <c r="AA82" i="3" s="1"/>
  <c r="W81" i="3" a="1"/>
  <c r="W81" i="3" s="1"/>
  <c r="X79" i="3" a="1"/>
  <c r="X79" i="3" s="1"/>
  <c r="Y77" i="3" a="1"/>
  <c r="Y77" i="3" s="1"/>
  <c r="Y76" i="3" a="1"/>
  <c r="Y76" i="3" s="1"/>
  <c r="Z74" i="3" a="1"/>
  <c r="Z74" i="3" s="1"/>
  <c r="AA72" i="3" a="1"/>
  <c r="AA72" i="3" s="1"/>
  <c r="W71" i="3" a="1"/>
  <c r="W71" i="3" s="1"/>
  <c r="W70" i="3" a="1"/>
  <c r="W70" i="3" s="1"/>
  <c r="X68" i="3" a="1"/>
  <c r="X68" i="3" s="1"/>
  <c r="Y66" i="3" a="1"/>
  <c r="Y66" i="3" s="1"/>
  <c r="Z64" i="3" a="1"/>
  <c r="Z64" i="3" s="1"/>
  <c r="Z63" i="3" a="1"/>
  <c r="Z63" i="3" s="1"/>
  <c r="AA61" i="3" a="1"/>
  <c r="AA61" i="3" s="1"/>
  <c r="W61" i="3" a="1"/>
  <c r="W61" i="3" s="1"/>
  <c r="X60" i="3" a="1"/>
  <c r="X60" i="3" s="1"/>
  <c r="Y59" i="3" a="1"/>
  <c r="Y59" i="3" s="1"/>
  <c r="Z58" i="3" a="1"/>
  <c r="Z58" i="3" s="1"/>
  <c r="AA57" i="3" a="1"/>
  <c r="AA57" i="3" s="1"/>
  <c r="W57" i="3" a="1"/>
  <c r="W57" i="3" s="1"/>
  <c r="X56" i="3" a="1"/>
  <c r="X56" i="3" s="1"/>
  <c r="Y55" i="3" a="1"/>
  <c r="Y55" i="3" s="1"/>
  <c r="Z54" i="3" a="1"/>
  <c r="Z54" i="3" s="1"/>
  <c r="AA53" i="3" a="1"/>
  <c r="AA53" i="3" s="1"/>
  <c r="W53" i="3" a="1"/>
  <c r="W53" i="3" s="1"/>
  <c r="X51" i="3" a="1"/>
  <c r="X51" i="3" s="1"/>
  <c r="Y49" i="3" a="1"/>
  <c r="Y49" i="3" s="1"/>
  <c r="X114" i="3" a="1"/>
  <c r="X114" i="3" s="1"/>
  <c r="Z99" i="3" a="1"/>
  <c r="Z99" i="3" s="1"/>
  <c r="AA92" i="3" a="1"/>
  <c r="AA92" i="3" s="1"/>
  <c r="X91" i="3" a="1"/>
  <c r="X91" i="3" s="1"/>
  <c r="W90" i="3" a="1"/>
  <c r="W90" i="3" s="1"/>
  <c r="X88" i="3" a="1"/>
  <c r="X88" i="3" s="1"/>
  <c r="Y86" i="3" a="1"/>
  <c r="Y86" i="3" s="1"/>
  <c r="Z84" i="3" a="1"/>
  <c r="Z84" i="3" s="1"/>
  <c r="Z83" i="3" a="1"/>
  <c r="Z83" i="3" s="1"/>
  <c r="AA81" i="3" a="1"/>
  <c r="AA81" i="3" s="1"/>
  <c r="W80" i="3" a="1"/>
  <c r="W80" i="3" s="1"/>
  <c r="X78" i="3" a="1"/>
  <c r="X78" i="3" s="1"/>
  <c r="X77" i="3" a="1"/>
  <c r="X77" i="3" s="1"/>
  <c r="Y75" i="3" a="1"/>
  <c r="Y75" i="3" s="1"/>
  <c r="Z73" i="3" a="1"/>
  <c r="Z73" i="3" s="1"/>
  <c r="AA71" i="3" a="1"/>
  <c r="AA71" i="3" s="1"/>
  <c r="AA70" i="3" a="1"/>
  <c r="AA70" i="3" s="1"/>
  <c r="W69" i="3" a="1"/>
  <c r="W69" i="3" s="1"/>
  <c r="X67" i="3" a="1"/>
  <c r="X67" i="3" s="1"/>
  <c r="Y65" i="3" a="1"/>
  <c r="Y65" i="3" s="1"/>
  <c r="Y64" i="3" a="1"/>
  <c r="Y64" i="3" s="1"/>
  <c r="Z62" i="3" a="1"/>
  <c r="Z62" i="3" s="1"/>
  <c r="Y52" i="3" a="1"/>
  <c r="Y52" i="3" s="1"/>
  <c r="Z50" i="3" a="1"/>
  <c r="Z50" i="3" s="1"/>
  <c r="AA48" i="3" a="1"/>
  <c r="AA48" i="3" s="1"/>
  <c r="W48" i="3" a="1"/>
  <c r="W48" i="3" s="1"/>
  <c r="X46" i="3" a="1"/>
  <c r="X46" i="3" s="1"/>
  <c r="Y44" i="3" a="1"/>
  <c r="Y44" i="3" s="1"/>
  <c r="Z42" i="3" a="1"/>
  <c r="Z42" i="3" s="1"/>
  <c r="AA40" i="3" a="1"/>
  <c r="AA40" i="3" s="1"/>
  <c r="W89" i="3" a="1"/>
  <c r="W89" i="3" s="1"/>
  <c r="Y74" i="3" a="1"/>
  <c r="Y74" i="3" s="1"/>
  <c r="W60" i="3" a="1"/>
  <c r="W60" i="3" s="1"/>
  <c r="Z53" i="3" a="1"/>
  <c r="Z53" i="3" s="1"/>
  <c r="Z51" i="3" a="1"/>
  <c r="Z51" i="3" s="1"/>
  <c r="Z49" i="3" a="1"/>
  <c r="Z49" i="3" s="1"/>
  <c r="AA45" i="3" a="1"/>
  <c r="AA45" i="3" s="1"/>
  <c r="X43" i="3" a="1"/>
  <c r="X43" i="3" s="1"/>
  <c r="W39" i="3" a="1"/>
  <c r="W39" i="3" s="1"/>
  <c r="X38" i="3" a="1"/>
  <c r="X38" i="3" s="1"/>
  <c r="Y36" i="3" a="1"/>
  <c r="Y36" i="3" s="1"/>
  <c r="Z34" i="3" a="1"/>
  <c r="Z34" i="3" s="1"/>
  <c r="AA32" i="3" a="1"/>
  <c r="AA32" i="3" s="1"/>
  <c r="W32" i="3" a="1"/>
  <c r="W32" i="3" s="1"/>
  <c r="X30" i="3" a="1"/>
  <c r="X30" i="3" s="1"/>
  <c r="Y28" i="3" a="1"/>
  <c r="Y28" i="3" s="1"/>
  <c r="Z26" i="3" a="1"/>
  <c r="Z26" i="3" s="1"/>
  <c r="AA24" i="3" a="1"/>
  <c r="AA24" i="3" s="1"/>
  <c r="W24" i="3" a="1"/>
  <c r="W24" i="3" s="1"/>
  <c r="AA23" i="3" a="1"/>
  <c r="AA23" i="3" s="1"/>
  <c r="W23" i="3" a="1"/>
  <c r="W23" i="3" s="1"/>
  <c r="X21" i="3" a="1"/>
  <c r="X21" i="3" s="1"/>
  <c r="Y19" i="3" a="1"/>
  <c r="Y19" i="3" s="1"/>
  <c r="Z120" i="3" a="1"/>
  <c r="Z120" i="3" s="1"/>
  <c r="AA80" i="3" a="1"/>
  <c r="AA80" i="3" s="1"/>
  <c r="X66" i="3" a="1"/>
  <c r="X66" i="3" s="1"/>
  <c r="X59" i="3" a="1"/>
  <c r="X59" i="3" s="1"/>
  <c r="Y53" i="3" a="1"/>
  <c r="Y53" i="3" s="1"/>
  <c r="Y51" i="3" a="1"/>
  <c r="Y51" i="3" s="1"/>
  <c r="X49" i="3" a="1"/>
  <c r="X49" i="3" s="1"/>
  <c r="Z45" i="3" a="1"/>
  <c r="Z45" i="3" s="1"/>
  <c r="W43" i="3" a="1"/>
  <c r="W43" i="3" s="1"/>
  <c r="W41" i="3" a="1"/>
  <c r="W41" i="3" s="1"/>
  <c r="AA39" i="3" a="1"/>
  <c r="AA39" i="3" s="1"/>
  <c r="Z37" i="3" a="1"/>
  <c r="Z37" i="3" s="1"/>
  <c r="Y35" i="3" a="1"/>
  <c r="Y35" i="3" s="1"/>
  <c r="Z33" i="3" a="1"/>
  <c r="Z33" i="3" s="1"/>
  <c r="AA31" i="3" a="1"/>
  <c r="AA31" i="3" s="1"/>
  <c r="W31" i="3" a="1"/>
  <c r="W31" i="3" s="1"/>
  <c r="X29" i="3" a="1"/>
  <c r="X29" i="3" s="1"/>
  <c r="Y27" i="3" a="1"/>
  <c r="Y27" i="3" s="1"/>
  <c r="X87" i="3" a="1"/>
  <c r="X87" i="3" s="1"/>
  <c r="Z72" i="3" a="1"/>
  <c r="Z72" i="3" s="1"/>
  <c r="X65" i="3" a="1"/>
  <c r="X65" i="3" s="1"/>
  <c r="Y58" i="3" a="1"/>
  <c r="Y58" i="3" s="1"/>
  <c r="X53" i="3" a="1"/>
  <c r="X53" i="3" s="1"/>
  <c r="W51" i="3" a="1"/>
  <c r="W51" i="3" s="1"/>
  <c r="W49" i="3" a="1"/>
  <c r="W49" i="3" s="1"/>
  <c r="Y45" i="3" a="1"/>
  <c r="Y45" i="3" s="1"/>
  <c r="Z40" i="3" a="1"/>
  <c r="Z40" i="3" s="1"/>
  <c r="Z39" i="3" a="1"/>
  <c r="Z39" i="3" s="1"/>
  <c r="W38" i="3" a="1"/>
  <c r="W38" i="3" s="1"/>
  <c r="X36" i="3" a="1"/>
  <c r="X36" i="3" s="1"/>
  <c r="Y34" i="3" a="1"/>
  <c r="Y34" i="3" s="1"/>
  <c r="Z32" i="3" a="1"/>
  <c r="Z32" i="3" s="1"/>
  <c r="AA30" i="3" a="1"/>
  <c r="AA30" i="3" s="1"/>
  <c r="W30" i="3" a="1"/>
  <c r="W30" i="3" s="1"/>
  <c r="X28" i="3" a="1"/>
  <c r="X28" i="3" s="1"/>
  <c r="Y26" i="3" a="1"/>
  <c r="Y26" i="3" s="1"/>
  <c r="W106" i="3" a="1"/>
  <c r="W106" i="3" s="1"/>
  <c r="W79" i="3" a="1"/>
  <c r="W79" i="3" s="1"/>
  <c r="Z71" i="3" a="1"/>
  <c r="Z71" i="3" s="1"/>
  <c r="Z57" i="3" a="1"/>
  <c r="Z57" i="3" s="1"/>
  <c r="AA47" i="3" a="1"/>
  <c r="AA47" i="3" s="1"/>
  <c r="X45" i="3" a="1"/>
  <c r="X45" i="3" s="1"/>
  <c r="AA38" i="3" a="1"/>
  <c r="AA38" i="3" s="1"/>
  <c r="Y37" i="3" a="1"/>
  <c r="Y37" i="3" s="1"/>
  <c r="X35" i="3" a="1"/>
  <c r="X35" i="3" s="1"/>
  <c r="Y33" i="3" a="1"/>
  <c r="Y33" i="3" s="1"/>
  <c r="Z31" i="3" a="1"/>
  <c r="Z31" i="3" s="1"/>
  <c r="AA29" i="3" a="1"/>
  <c r="AA29" i="3" s="1"/>
  <c r="W29" i="3" a="1"/>
  <c r="W29" i="3" s="1"/>
  <c r="X27" i="3" a="1"/>
  <c r="X27" i="3" s="1"/>
  <c r="Y25" i="3" a="1"/>
  <c r="Y25" i="3" s="1"/>
  <c r="Y85" i="3" a="1"/>
  <c r="Y85" i="3" s="1"/>
  <c r="W78" i="3" a="1"/>
  <c r="W78" i="3" s="1"/>
  <c r="Y63" i="3" a="1"/>
  <c r="Y63" i="3" s="1"/>
  <c r="AA56" i="3" a="1"/>
  <c r="AA56" i="3" s="1"/>
  <c r="Z47" i="3" a="1"/>
  <c r="Z47" i="3" s="1"/>
  <c r="W45" i="3" a="1"/>
  <c r="W45" i="3" s="1"/>
  <c r="AA41" i="3" a="1"/>
  <c r="AA41" i="3" s="1"/>
  <c r="Y39" i="3" a="1"/>
  <c r="Y39" i="3" s="1"/>
  <c r="AA36" i="3" a="1"/>
  <c r="AA36" i="3" s="1"/>
  <c r="W36" i="3" a="1"/>
  <c r="W36" i="3" s="1"/>
  <c r="X34" i="3" a="1"/>
  <c r="X34" i="3" s="1"/>
  <c r="Y32" i="3" a="1"/>
  <c r="Y32" i="3" s="1"/>
  <c r="Z30" i="3" a="1"/>
  <c r="Z30" i="3" s="1"/>
  <c r="AA28" i="3" a="1"/>
  <c r="AA28" i="3" s="1"/>
  <c r="W28" i="3" a="1"/>
  <c r="W28" i="3" s="1"/>
  <c r="X26" i="3" a="1"/>
  <c r="X26" i="3" s="1"/>
  <c r="Y24" i="3" a="1"/>
  <c r="Y24" i="3" s="1"/>
  <c r="Y23" i="3" a="1"/>
  <c r="Y23" i="3" s="1"/>
  <c r="Z21" i="3" a="1"/>
  <c r="Z21" i="3" s="1"/>
  <c r="AA19" i="3" a="1"/>
  <c r="AA19" i="3" s="1"/>
  <c r="W19" i="3" a="1"/>
  <c r="W19" i="3" s="1"/>
  <c r="Y84" i="3" a="1"/>
  <c r="Y84" i="3" s="1"/>
  <c r="AA69" i="3" a="1"/>
  <c r="AA69" i="3" s="1"/>
  <c r="W56" i="3" a="1"/>
  <c r="W56" i="3" s="1"/>
  <c r="Y47" i="3" a="1"/>
  <c r="Y47" i="3" s="1"/>
  <c r="AA43" i="3" a="1"/>
  <c r="AA43" i="3" s="1"/>
  <c r="Z41" i="3" a="1"/>
  <c r="Z41" i="3" s="1"/>
  <c r="Z38" i="3" a="1"/>
  <c r="Z38" i="3" s="1"/>
  <c r="X37" i="3" a="1"/>
  <c r="X37" i="3" s="1"/>
  <c r="AA35" i="3" a="1"/>
  <c r="AA35" i="3" s="1"/>
  <c r="W35" i="3" a="1"/>
  <c r="W35" i="3" s="1"/>
  <c r="X33" i="3" a="1"/>
  <c r="X33" i="3" s="1"/>
  <c r="Y31" i="3" a="1"/>
  <c r="Y31" i="3" s="1"/>
  <c r="Z29" i="3" a="1"/>
  <c r="Z29" i="3" s="1"/>
  <c r="AA27" i="3" a="1"/>
  <c r="AA27" i="3" s="1"/>
  <c r="W27" i="3" a="1"/>
  <c r="W27" i="3" s="1"/>
  <c r="X76" i="3" a="1"/>
  <c r="X76" i="3" s="1"/>
  <c r="Z61" i="3" a="1"/>
  <c r="Z61" i="3" s="1"/>
  <c r="X55" i="3" a="1"/>
  <c r="X55" i="3" s="1"/>
  <c r="X47" i="3" a="1"/>
  <c r="X47" i="3" s="1"/>
  <c r="Z43" i="3" a="1"/>
  <c r="Z43" i="3" s="1"/>
  <c r="Y41" i="3" a="1"/>
  <c r="Y41" i="3" s="1"/>
  <c r="W40" i="3" a="1"/>
  <c r="W40" i="3" s="1"/>
  <c r="X39" i="3" a="1"/>
  <c r="X39" i="3" s="1"/>
  <c r="Z36" i="3" a="1"/>
  <c r="Z36" i="3" s="1"/>
  <c r="AA34" i="3" a="1"/>
  <c r="AA34" i="3" s="1"/>
  <c r="W34" i="3" a="1"/>
  <c r="W34" i="3" s="1"/>
  <c r="X32" i="3" a="1"/>
  <c r="X32" i="3" s="1"/>
  <c r="Y30" i="3" a="1"/>
  <c r="Y30" i="3" s="1"/>
  <c r="Z28" i="3" a="1"/>
  <c r="Z28" i="3" s="1"/>
  <c r="AA26" i="3" a="1"/>
  <c r="AA26" i="3" s="1"/>
  <c r="W26" i="3" a="1"/>
  <c r="W26" i="3" s="1"/>
  <c r="X24" i="3" a="1"/>
  <c r="X24" i="3" s="1"/>
  <c r="X23" i="3" a="1"/>
  <c r="X23" i="3" s="1"/>
  <c r="Y21" i="3" a="1"/>
  <c r="Y21" i="3" s="1"/>
  <c r="Z19" i="3" a="1"/>
  <c r="Z19" i="3" s="1"/>
  <c r="F6" i="3"/>
  <c r="R6" i="3"/>
  <c r="S7" i="3"/>
  <c r="Z8" i="3" a="1"/>
  <c r="Z8" i="3" s="1"/>
  <c r="S9" i="3"/>
  <c r="F10" i="3"/>
  <c r="R10" i="3"/>
  <c r="Y10" i="3" a="1"/>
  <c r="Y10" i="3" s="1"/>
  <c r="E11" i="3"/>
  <c r="H23" i="3" s="1"/>
  <c r="I23" i="3" s="1"/>
  <c r="Q11" i="3"/>
  <c r="X12" i="3" a="1"/>
  <c r="X12" i="3" s="1"/>
  <c r="C13" i="3"/>
  <c r="D13" i="3" s="1"/>
  <c r="B14" i="3"/>
  <c r="L14" i="3" s="1"/>
  <c r="J14" i="3"/>
  <c r="K14" i="3" s="1"/>
  <c r="W14" i="3" a="1"/>
  <c r="W14" i="3" s="1"/>
  <c r="AA14" i="3" a="1"/>
  <c r="AA14" i="3" s="1"/>
  <c r="X16" i="3" a="1"/>
  <c r="X16" i="3" s="1"/>
  <c r="C17" i="3"/>
  <c r="D17" i="3" s="1"/>
  <c r="Y17" i="3" a="1"/>
  <c r="Y17" i="3" s="1"/>
  <c r="E18" i="3"/>
  <c r="E21" i="3"/>
  <c r="AA22" i="3" a="1"/>
  <c r="AA22" i="3" s="1"/>
  <c r="F24" i="3"/>
  <c r="Z25" i="3" a="1"/>
  <c r="Z25" i="3" s="1"/>
  <c r="Q36" i="3"/>
  <c r="R36" i="3" s="1"/>
  <c r="B51" i="3"/>
  <c r="L51" i="3" s="1"/>
  <c r="P32" i="3"/>
  <c r="H10" i="3" l="1"/>
  <c r="I10" i="3" s="1"/>
  <c r="G10" i="3"/>
  <c r="H6" i="3"/>
  <c r="I6" i="3" s="1"/>
  <c r="G6" i="3"/>
  <c r="H33" i="3"/>
  <c r="I33" i="3" s="1"/>
  <c r="G33" i="3"/>
  <c r="H44" i="3"/>
  <c r="I44" i="3" s="1"/>
  <c r="G44" i="3"/>
  <c r="G35" i="3"/>
  <c r="H35" i="3"/>
  <c r="I35" i="3" s="1"/>
  <c r="H28" i="3"/>
  <c r="I28" i="3" s="1"/>
  <c r="G28" i="3"/>
  <c r="H50" i="3"/>
  <c r="I50" i="3" s="1"/>
  <c r="G50" i="3"/>
  <c r="G47" i="3"/>
  <c r="H47" i="3"/>
  <c r="I47" i="3" s="1"/>
  <c r="R32" i="3"/>
  <c r="H17" i="3"/>
  <c r="I17" i="3" s="1"/>
  <c r="G17" i="3"/>
  <c r="H18" i="3"/>
  <c r="I18" i="3" s="1"/>
  <c r="G18" i="3"/>
  <c r="E22" i="5"/>
  <c r="E29" i="5"/>
  <c r="G7" i="3"/>
  <c r="H7" i="3"/>
  <c r="I7" i="3" s="1"/>
  <c r="F43" i="5"/>
  <c r="J40" i="5"/>
  <c r="I43" i="5"/>
  <c r="H31" i="3"/>
  <c r="I31" i="3" s="1"/>
  <c r="G31" i="3"/>
  <c r="H48" i="3"/>
  <c r="I48" i="3" s="1"/>
  <c r="G48" i="3"/>
  <c r="K32" i="3"/>
  <c r="K44" i="3"/>
  <c r="G49" i="3"/>
  <c r="H49" i="3"/>
  <c r="I49" i="3" s="1"/>
  <c r="H51" i="3"/>
  <c r="I51" i="3" s="1"/>
  <c r="G51" i="3"/>
  <c r="R28" i="3"/>
  <c r="H30" i="3"/>
  <c r="I30" i="3" s="1"/>
  <c r="G30" i="3"/>
  <c r="R33" i="3"/>
  <c r="D34" i="5"/>
  <c r="E24" i="5"/>
  <c r="E31" i="5"/>
  <c r="D19" i="4"/>
  <c r="D18" i="4"/>
  <c r="D20" i="4"/>
  <c r="H46" i="3"/>
  <c r="I46" i="3" s="1"/>
  <c r="G46" i="3"/>
  <c r="H24" i="3"/>
  <c r="I24" i="3" s="1"/>
  <c r="G24" i="3"/>
  <c r="H26" i="3"/>
  <c r="I26" i="3" s="1"/>
  <c r="G26" i="3"/>
  <c r="G20" i="3"/>
  <c r="H20" i="3"/>
  <c r="I20" i="3" s="1"/>
  <c r="G45" i="3"/>
  <c r="H45" i="3"/>
  <c r="I45" i="3" s="1"/>
  <c r="H5" i="3"/>
  <c r="I5" i="3" s="1"/>
  <c r="G5" i="3"/>
  <c r="H12" i="3"/>
  <c r="I12" i="3" s="1"/>
  <c r="G12" i="3"/>
  <c r="H11" i="3"/>
  <c r="I11" i="3" s="1"/>
  <c r="G11" i="3"/>
  <c r="C34" i="5"/>
  <c r="E33" i="5"/>
  <c r="B8" i="7"/>
  <c r="N6" i="6" s="1"/>
  <c r="B6" i="6"/>
  <c r="H8" i="3"/>
  <c r="I8" i="3" s="1"/>
  <c r="G8" i="3"/>
  <c r="J42" i="5"/>
  <c r="G22" i="3"/>
  <c r="H22" i="3"/>
  <c r="I22" i="3" s="1"/>
  <c r="H25" i="3"/>
  <c r="I25" i="3" s="1"/>
  <c r="G25" i="3"/>
  <c r="H38" i="3"/>
  <c r="I38" i="3" s="1"/>
  <c r="G38" i="3"/>
  <c r="G27" i="3"/>
  <c r="H27" i="3"/>
  <c r="I27" i="3" s="1"/>
  <c r="H37" i="3"/>
  <c r="I37" i="3" s="1"/>
  <c r="G37" i="3"/>
  <c r="H39" i="3"/>
  <c r="I39" i="3" s="1"/>
  <c r="G39" i="3"/>
  <c r="H15" i="3"/>
  <c r="I15" i="3" s="1"/>
  <c r="G15" i="3"/>
  <c r="G4" i="3"/>
  <c r="H4" i="3"/>
  <c r="I4" i="3" s="1"/>
  <c r="R34" i="3"/>
  <c r="E28" i="5"/>
  <c r="G9" i="3"/>
  <c r="H9" i="3"/>
  <c r="I9" i="3" s="1"/>
  <c r="B8" i="4"/>
  <c r="B6" i="4"/>
  <c r="G43" i="5"/>
  <c r="H40" i="3"/>
  <c r="I40" i="3" s="1"/>
  <c r="G40" i="3"/>
  <c r="H41" i="3"/>
  <c r="I41" i="3" s="1"/>
  <c r="G41" i="3"/>
  <c r="G43" i="3"/>
  <c r="H43" i="3"/>
  <c r="I43" i="3" s="1"/>
  <c r="E30" i="5"/>
  <c r="B34" i="5"/>
  <c r="E21" i="5"/>
  <c r="H52" i="3"/>
  <c r="I52" i="3" s="1"/>
  <c r="G52" i="3"/>
  <c r="H36" i="3"/>
  <c r="I36" i="3" s="1"/>
  <c r="G36" i="3"/>
  <c r="H19" i="3"/>
  <c r="I19" i="3" s="1"/>
  <c r="G19" i="3"/>
  <c r="K24" i="3"/>
  <c r="E32" i="5"/>
  <c r="E23" i="5"/>
  <c r="R27" i="3"/>
  <c r="H29" i="3"/>
  <c r="I29" i="3" s="1"/>
  <c r="G29" i="3"/>
  <c r="R35" i="3"/>
  <c r="H21" i="3"/>
  <c r="I21" i="3" s="1"/>
  <c r="G21" i="3"/>
  <c r="E25" i="5"/>
  <c r="P18" i="3"/>
  <c r="P17" i="3"/>
  <c r="B8" i="5"/>
  <c r="K12" i="3"/>
  <c r="H16" i="3"/>
  <c r="I16" i="3" s="1"/>
  <c r="G16" i="3"/>
  <c r="J41" i="5"/>
  <c r="H43" i="5"/>
  <c r="K26" i="3"/>
  <c r="H32" i="3"/>
  <c r="I32" i="3" s="1"/>
  <c r="G32" i="3"/>
  <c r="H34" i="3"/>
  <c r="I34" i="3" s="1"/>
  <c r="G34" i="3"/>
  <c r="K43" i="3"/>
  <c r="H42" i="3"/>
  <c r="I42" i="3" s="1"/>
  <c r="G42" i="3"/>
  <c r="G53" i="3"/>
  <c r="H53" i="3"/>
  <c r="I53" i="3" s="1"/>
  <c r="H13" i="3"/>
  <c r="I13" i="3" s="1"/>
  <c r="G13" i="3"/>
  <c r="H14" i="3"/>
  <c r="I14" i="3" s="1"/>
  <c r="E34" i="5" l="1"/>
  <c r="J43" i="5"/>
</calcChain>
</file>

<file path=xl/sharedStrings.xml><?xml version="1.0" encoding="utf-8"?>
<sst xmlns="http://schemas.openxmlformats.org/spreadsheetml/2006/main" count="2521" uniqueCount="508">
  <si>
    <t>RETAIL SALES PERFORMANCE DASHBOARD</t>
  </si>
  <si>
    <t>CONFIDENTIAL REPORT</t>
  </si>
  <si>
    <t>Transaction Analytics · Apr 2024 – Apr 2025</t>
  </si>
  <si>
    <t>Total Revenue 💰</t>
  </si>
  <si>
    <t>Total Orders 🛒</t>
  </si>
  <si>
    <t>Unique Customers 👥</t>
  </si>
  <si>
    <t>Avg Order Value 📊</t>
  </si>
  <si>
    <t>Revenue by Customer Segment</t>
  </si>
  <si>
    <t>Central</t>
  </si>
  <si>
    <t>Appliances</t>
  </si>
  <si>
    <t>Basic</t>
  </si>
  <si>
    <t>Date</t>
  </si>
  <si>
    <t>East</t>
  </si>
  <si>
    <t>Electronics</t>
  </si>
  <si>
    <t>Standard</t>
  </si>
  <si>
    <t>North</t>
  </si>
  <si>
    <t>Furniture</t>
  </si>
  <si>
    <t>Premium</t>
  </si>
  <si>
    <t>South</t>
  </si>
  <si>
    <t>West</t>
  </si>
  <si>
    <t>Transaction_ID</t>
  </si>
  <si>
    <t>Customer</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</si>
  <si>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</si>
  <si>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</si>
  <si>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</si>
  <si>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</si>
  <si>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</si>
  <si>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</si>
  <si>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</si>
  <si>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</si>
  <si>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</si>
  <si>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</si>
  <si>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</si>
  <si>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</si>
  <si>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</si>
  <si>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</si>
  <si>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</si>
  <si>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</si>
  <si>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Cash</t>
  </si>
  <si>
    <t>TRX0023</t>
  </si>
  <si>
    <t>CUST013</t>
  </si>
  <si>
    <t>Joseph Jackson</t>
  </si>
  <si>
    <t>Credit Card</t>
  </si>
  <si>
    <t>TRX0139</t>
  </si>
  <si>
    <t>CUST021</t>
  </si>
  <si>
    <t>Kevin Scott</t>
  </si>
  <si>
    <t>P005</t>
  </si>
  <si>
    <t>Blender</t>
  </si>
  <si>
    <t>PayPal</t>
  </si>
  <si>
    <t>TRX0043</t>
  </si>
  <si>
    <t>CUST046</t>
  </si>
  <si>
    <t>Kathleen Bennett</t>
  </si>
  <si>
    <t>TRX0212</t>
  </si>
  <si>
    <t>CUST003</t>
  </si>
  <si>
    <t>Michael Brown</t>
  </si>
  <si>
    <t>P008</t>
  </si>
  <si>
    <t>Bookshelf</t>
  </si>
  <si>
    <t>TRX0092</t>
  </si>
  <si>
    <t>CUST024</t>
  </si>
  <si>
    <t>Dorothy Nelson</t>
  </si>
  <si>
    <t>TRX0193</t>
  </si>
  <si>
    <t>P003</t>
  </si>
  <si>
    <t>Headphones</t>
  </si>
  <si>
    <t>TRX0240</t>
  </si>
  <si>
    <t>CUST017</t>
  </si>
  <si>
    <t>Charles Allen</t>
  </si>
  <si>
    <t>Debit Card</t>
  </si>
  <si>
    <t>TRX0135</t>
  </si>
  <si>
    <t>CUST009</t>
  </si>
  <si>
    <t>Robert Thomas</t>
  </si>
  <si>
    <t>P001</t>
  </si>
  <si>
    <t>Laptop</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</si>
  <si>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</si>
  <si>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</si>
  <si>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</si>
  <si>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</si>
  <si>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</si>
  <si>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</si>
  <si>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</si>
  <si>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</si>
  <si>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</si>
  <si>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</si>
  <si>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</si>
  <si>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</si>
  <si>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</si>
  <si>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</si>
  <si>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</si>
  <si>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</si>
  <si>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</si>
  <si>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</si>
  <si>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</si>
  <si>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</si>
  <si>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</si>
  <si>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</si>
  <si>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</si>
  <si>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</si>
  <si>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</si>
  <si>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</si>
  <si>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</si>
  <si>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</si>
  <si>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</si>
  <si>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</si>
  <si>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</si>
  <si>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</si>
  <si>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</si>
  <si>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</si>
  <si>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</si>
  <si>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</si>
  <si>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</si>
  <si>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</si>
  <si>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</si>
  <si>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</si>
  <si>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</si>
  <si>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</si>
  <si>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</si>
  <si>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</si>
  <si>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</si>
  <si>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</si>
  <si>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</si>
  <si>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</si>
  <si>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</si>
  <si>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</si>
  <si>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</si>
  <si>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</si>
  <si>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</si>
  <si>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</si>
  <si>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</si>
  <si>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</si>
  <si>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</si>
  <si>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</si>
  <si>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</si>
  <si>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</si>
  <si>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</si>
  <si>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</si>
  <si>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</si>
  <si>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</si>
  <si>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</si>
  <si>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</si>
  <si>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</si>
  <si>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</si>
  <si>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</si>
  <si>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</si>
  <si>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</si>
  <si>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</si>
  <si>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</si>
  <si>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</si>
  <si>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</si>
  <si>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</si>
  <si>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</si>
  <si>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</si>
  <si>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</si>
  <si>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</si>
  <si>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</si>
  <si>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</si>
  <si>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</si>
  <si>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</si>
  <si>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</si>
  <si>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</si>
  <si>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</si>
  <si>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</si>
  <si>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</si>
  <si>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</si>
  <si>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</si>
  <si>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</si>
  <si>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</si>
  <si>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</si>
  <si>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</si>
  <si>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</si>
  <si>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</si>
  <si>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</si>
  <si>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</si>
  <si>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</si>
  <si>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</si>
  <si>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</si>
  <si>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</si>
  <si>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</si>
  <si>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</si>
  <si>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</si>
  <si>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</si>
  <si>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</si>
  <si>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</si>
  <si>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</si>
  <si>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</si>
  <si>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</si>
  <si>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</si>
  <si>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</si>
  <si>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</si>
  <si>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</si>
  <si>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</si>
  <si>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</si>
  <si>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</si>
  <si>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</si>
  <si>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</si>
  <si>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</si>
  <si>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</si>
  <si>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</si>
  <si>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</si>
  <si>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</si>
  <si>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</si>
  <si>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</si>
  <si>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</si>
  <si>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</si>
  <si>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</si>
  <si>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</si>
  <si>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</si>
  <si>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</si>
  <si>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</si>
  <si>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</si>
  <si>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</si>
  <si>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</si>
  <si>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</si>
  <si>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</si>
  <si>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</si>
  <si>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</si>
  <si>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</si>
  <si>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</si>
  <si>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</si>
  <si>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</si>
  <si>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</si>
  <si>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</si>
  <si>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</si>
  <si>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</si>
  <si>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</si>
  <si>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</si>
  <si>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</si>
  <si>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</si>
  <si>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</si>
  <si>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</si>
  <si>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</si>
  <si>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</si>
  <si>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</si>
  <si>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</si>
  <si>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</si>
  <si>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</si>
  <si>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</si>
  <si>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</si>
  <si>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</si>
  <si>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</si>
  <si>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</si>
  <si>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</si>
  <si>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</si>
  <si>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</si>
  <si>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</si>
  <si>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</si>
  <si>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</si>
  <si>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</si>
  <si>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</si>
  <si>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</si>
  <si>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</si>
  <si>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</si>
  <si>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</si>
  <si>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</si>
  <si>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</si>
  <si>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</si>
  <si>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</si>
  <si>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</si>
  <si>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</si>
  <si>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</si>
  <si>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</si>
  <si>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</si>
  <si>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</si>
  <si>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</si>
  <si>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</si>
  <si>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</si>
  <si>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</si>
  <si>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</si>
  <si>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</si>
  <si>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</si>
  <si>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</si>
  <si>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</si>
  <si>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</si>
  <si>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</si>
  <si>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</si>
  <si>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</si>
  <si>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</si>
  <si>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</si>
  <si>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</si>
  <si>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</si>
  <si>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</si>
  <si>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</si>
  <si>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</si>
  <si>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</si>
  <si>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</si>
  <si>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</si>
  <si>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</si>
  <si>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</si>
  <si>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</si>
  <si>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</si>
  <si>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</si>
  <si>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</si>
  <si>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</si>
  <si>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</si>
  <si>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</si>
  <si>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</si>
  <si>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</si>
  <si>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</si>
  <si>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</si>
  <si>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</si>
  <si>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</si>
  <si>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</si>
  <si>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</si>
  <si>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</si>
  <si>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</si>
  <si>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</si>
  <si>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</si>
  <si>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</si>
  <si>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</si>
  <si>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</si>
  <si>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</si>
  <si>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</si>
  <si>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</si>
  <si>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</si>
  <si>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</si>
  <si>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</si>
  <si>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</si>
  <si>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</si>
  <si>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</si>
  <si>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</si>
  <si>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</si>
  <si>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</si>
  <si>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</si>
  <si>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</si>
  <si>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</si>
  <si>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</si>
  <si>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</si>
  <si>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</si>
  <si>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</si>
  <si>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</si>
  <si>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</si>
  <si>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</si>
  <si>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</si>
  <si>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</si>
  <si>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</si>
  <si>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</si>
  <si>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</si>
  <si>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</si>
  <si>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</si>
  <si>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</si>
  <si>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</si>
  <si>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</si>
  <si>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</si>
  <si>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</si>
  <si>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</si>
  <si>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</si>
  <si>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</si>
  <si>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</si>
  <si>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</si>
  <si>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</si>
  <si>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</si>
  <si>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</si>
  <si>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</si>
  <si>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</si>
  <si>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</si>
  <si>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</si>
  <si>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</si>
  <si>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</si>
  <si>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</si>
  <si>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</si>
  <si>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</si>
  <si>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</si>
  <si>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</si>
  <si>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</si>
  <si>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</si>
  <si>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</si>
  <si>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</si>
  <si>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</si>
  <si>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</si>
  <si>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</si>
  <si>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</si>
  <si>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</si>
  <si>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</si>
  <si>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</si>
  <si>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</si>
  <si>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</si>
  <si>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</si>
  <si>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</si>
  <si>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</si>
  <si>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</si>
  <si>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</si>
  <si>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</si>
  <si>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</si>
  <si>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</si>
  <si>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</si>
  <si>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</si>
  <si>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</si>
  <si>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</si>
  <si>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</si>
  <si>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</si>
  <si>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</si>
  <si>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</si>
  <si>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</si>
  <si>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</si>
  <si>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</si>
  <si>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</si>
  <si>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</si>
  <si>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</si>
  <si>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</si>
  <si>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</si>
  <si>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</si>
  <si>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</si>
  <si>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</si>
  <si>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</si>
  <si>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</si>
  <si>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</si>
  <si>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</si>
  <si>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</si>
  <si>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</si>
  <si>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Customer_ID</t>
  </si>
  <si>
    <t>Tenure_Years</t>
  </si>
  <si>
    <t>Total_Spend</t>
  </si>
  <si>
    <t>Order_Count</t>
  </si>
  <si>
    <t>Avg_Order_Value</t>
  </si>
  <si>
    <t>Spend_Rank</t>
  </si>
  <si>
    <t>High_Value_Flag</t>
  </si>
  <si>
    <t>Bought_Laptop</t>
  </si>
  <si>
    <t>Premium_and_Laptop_Match</t>
  </si>
  <si>
    <t>Customer_Code</t>
  </si>
  <si>
    <t>2. MOST FREQUENTLY PURCHASED PRODUCT</t>
  </si>
  <si>
    <t>3. MULTI-VALUE FILTER BY CATEGORY (INDEX + SMALL + IF array formula)</t>
  </si>
  <si>
    <t>Units_Sold</t>
  </si>
  <si>
    <t>Times_Purchased</t>
  </si>
  <si>
    <t>Revenue</t>
  </si>
  <si>
    <t>Product_Code</t>
  </si>
  <si>
    <t>Select a Category:</t>
  </si>
  <si>
    <t>Most Frequently Purchased Product (by Units Sold):</t>
  </si>
  <si>
    <t>Units Sold for that Product:</t>
  </si>
  <si>
    <t>4. MONTHLY REVENUE TREND WITH GROWTH % (Icon Set Conditional Formatting)</t>
  </si>
  <si>
    <t>Month</t>
  </si>
  <si>
    <t>Month_Label</t>
  </si>
  <si>
    <t>Monthly_Revenue</t>
  </si>
  <si>
    <t>Growth_%</t>
  </si>
  <si>
    <t>Matching Records Count:</t>
  </si>
  <si>
    <t>1. GOAL SEEK - LAPTOP REVENUE TARGET</t>
  </si>
  <si>
    <t>Product:</t>
  </si>
  <si>
    <t>Unit Price:</t>
  </si>
  <si>
    <t>Quantity Sold (input - Goal Seek changes this):</t>
  </si>
  <si>
    <t>Calculated Revenue (= Unit Price x Quantity):</t>
  </si>
  <si>
    <t>Target Revenue:</t>
  </si>
  <si>
    <t>Required Quantity (cross-check = Target / Unit Price):</t>
  </si>
  <si>
    <t>2. SCENARIO MANAGER - REVENUE PROJECTION (Best / Likely / Worst Case)</t>
  </si>
  <si>
    <t>Current Total Revenue (all transactions):</t>
  </si>
  <si>
    <t>Scenario</t>
  </si>
  <si>
    <t>Price_Adjustment_%</t>
  </si>
  <si>
    <t>Quantity_Adjustment_%</t>
  </si>
  <si>
    <t>Projected_Revenue</t>
  </si>
  <si>
    <t>Best Case</t>
  </si>
  <si>
    <t>Likely Case</t>
  </si>
  <si>
    <t>Worst Case</t>
  </si>
  <si>
    <t>3. LINEAR REGRESSION - QUANTITY vs TOTAL AMOUNT</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</si>
  <si>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</si>
  <si>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</si>
  <si>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</si>
  <si>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</si>
  <si>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</si>
  <si>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</si>
  <si>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</si>
  <si>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</si>
  <si>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</si>
  <si>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</si>
  <si>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</si>
  <si>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</si>
  <si>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</si>
  <si>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</si>
  <si>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</si>
  <si>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</si>
  <si>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</si>
  <si>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</si>
  <si>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</si>
  <si>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</si>
  <si>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</si>
  <si>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</si>
  <si>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</si>
  <si>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</si>
  <si>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Revenue by Region (sorted descending)</t>
  </si>
  <si>
    <t>Sum of Total_Amount</t>
  </si>
  <si>
    <t>Grand Total</t>
  </si>
  <si>
    <t>Revenue by Category by Month</t>
  </si>
  <si>
    <t>2024-04</t>
  </si>
  <si>
    <t>2024-05</t>
  </si>
  <si>
    <t>2024-06</t>
  </si>
  <si>
    <t>2024-07</t>
  </si>
  <si>
    <t>2024-08</t>
  </si>
  <si>
    <t>2024-09</t>
  </si>
  <si>
    <t>2024-10</t>
  </si>
  <si>
    <t>2024-11</t>
  </si>
  <si>
    <t>2024-12</t>
  </si>
  <si>
    <t>2025-01</t>
  </si>
  <si>
    <t>2025-02</t>
  </si>
  <si>
    <t>2025-03</t>
  </si>
  <si>
    <t>2025-04</t>
  </si>
  <si>
    <t>Top 10 Customers by Revenue</t>
  </si>
  <si>
    <t>Revenue: Customer Segment × Payment Method</t>
  </si>
  <si>
    <t>Count of Transaction_ID</t>
  </si>
  <si>
    <t>Segment</t>
  </si>
  <si>
    <t>Paypal</t>
  </si>
  <si>
    <t>Dashboard Resources — every table and figure the Dashboard sheet pulls from</t>
  </si>
  <si>
    <t>Kept separate from the Dashboard sheet so the dashboard itself stays clean and presentation-ready. Region and Monthly-by-Category figures reuse the PivotTables sheet (Pivot 1 &amp; Pivot 2) directly — not duplicated here.</t>
  </si>
  <si>
    <t>KPI Base Figures</t>
  </si>
  <si>
    <t>Total Revenue</t>
  </si>
  <si>
    <t>Total Orders</t>
  </si>
  <si>
    <t>Unique Customers</t>
  </si>
  <si>
    <t>Avg Order Value</t>
  </si>
  <si>
    <t>Revenue by Product (sorted descending) — feeds Dashboard bar chart</t>
  </si>
  <si>
    <t>Revenue by Customer Segment — feeds Dashboard donut chart</t>
  </si>
  <si>
    <t>Row Labels</t>
  </si>
  <si>
    <r>
      <t>Total Revenue:</t>
    </r>
    <r>
      <rPr>
        <sz val="9"/>
        <color theme="1"/>
        <rFont val="Calibri"/>
        <family val="2"/>
        <charset val="1"/>
      </rPr>
      <t xml:space="preserve"> </t>
    </r>
    <r>
      <rPr>
        <b/>
        <sz val="9"/>
        <color theme="1"/>
        <rFont val="Calibri"/>
        <family val="2"/>
        <charset val="1"/>
      </rPr>
      <t>$229,192.47</t>
    </r>
    <r>
      <rPr>
        <sz val="9"/>
        <color theme="1"/>
        <rFont val="Calibri"/>
        <family val="2"/>
        <charset val="1"/>
      </rPr>
      <t xml:space="preserve"> across </t>
    </r>
    <r>
      <rPr>
        <b/>
        <sz val="9"/>
        <color theme="1"/>
        <rFont val="Calibri"/>
        <family val="2"/>
        <charset val="1"/>
      </rPr>
      <t>250 orders</t>
    </r>
    <r>
      <rPr>
        <sz val="9"/>
        <color theme="1"/>
        <rFont val="Calibri"/>
        <family val="2"/>
        <charset val="1"/>
      </rPr>
      <t xml:space="preserve"> (Average Order Value: </t>
    </r>
    <r>
      <rPr>
        <b/>
        <sz val="9"/>
        <color theme="1"/>
        <rFont val="Calibri"/>
        <family val="2"/>
        <charset val="1"/>
      </rPr>
      <t>$916.77</t>
    </r>
    <r>
      <rPr>
        <sz val="9"/>
        <color theme="1"/>
        <rFont val="Calibri"/>
        <family val="2"/>
        <charset val="1"/>
      </rPr>
      <t>).</t>
    </r>
  </si>
  <si>
    <r>
      <t>Top Product Category:</t>
    </r>
    <r>
      <rPr>
        <sz val="9"/>
        <color theme="1"/>
        <rFont val="Calibri"/>
        <family val="2"/>
        <charset val="1"/>
      </rPr>
      <t xml:space="preserve"> </t>
    </r>
    <r>
      <rPr>
        <b/>
        <sz val="9"/>
        <color theme="1"/>
        <rFont val="Calibri"/>
        <family val="2"/>
        <charset val="1"/>
      </rPr>
      <t>Electronics</t>
    </r>
    <r>
      <rPr>
        <sz val="9"/>
        <color theme="1"/>
        <rFont val="Calibri"/>
        <family val="2"/>
        <charset val="1"/>
      </rPr>
      <t xml:space="preserve"> generated </t>
    </r>
    <r>
      <rPr>
        <b/>
        <sz val="9"/>
        <color theme="1"/>
        <rFont val="Calibri"/>
        <family val="2"/>
        <charset val="1"/>
      </rPr>
      <t>74.9%</t>
    </r>
    <r>
      <rPr>
        <sz val="9"/>
        <color theme="1"/>
        <rFont val="Calibri"/>
        <family val="2"/>
        <charset val="1"/>
      </rPr>
      <t xml:space="preserve"> ($171,756.05) of total sales, driven primarily by Laptops and Smartphones.</t>
    </r>
  </si>
  <si>
    <r>
      <t>Top Region:</t>
    </r>
    <r>
      <rPr>
        <sz val="9"/>
        <color theme="1"/>
        <rFont val="Calibri"/>
        <family val="2"/>
        <charset val="1"/>
      </rPr>
      <t xml:space="preserve"> </t>
    </r>
    <r>
      <rPr>
        <b/>
        <sz val="9"/>
        <color theme="1"/>
        <rFont val="Calibri"/>
        <family val="2"/>
        <charset val="1"/>
      </rPr>
      <t>East</t>
    </r>
    <r>
      <rPr>
        <sz val="9"/>
        <color theme="1"/>
        <rFont val="Calibri"/>
        <family val="2"/>
        <charset val="1"/>
      </rPr>
      <t xml:space="preserve"> led all sales territories with </t>
    </r>
    <r>
      <rPr>
        <b/>
        <sz val="9"/>
        <color theme="1"/>
        <rFont val="Calibri"/>
        <family val="2"/>
        <charset val="1"/>
      </rPr>
      <t>$59,288.39</t>
    </r>
    <r>
      <rPr>
        <sz val="9"/>
        <color theme="1"/>
        <rFont val="Calibri"/>
        <family val="2"/>
        <charset val="1"/>
      </rPr>
      <t xml:space="preserve"> (25.9% share) and the highest average spend per order ($1,235.17).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</si>
</sst>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0"/>
    <numFmt numFmtId="166" formatCode="yyyy\-mm"/>
    <numFmt numFmtId="167" formatCode="0.0%"/>
    <numFmt numFmtId="168" formatCode="0.0"/>
    <numFmt numFmtId="169" formatCode="\$#,##0"/>
  </numFmts>
  <fonts count="23" x14ac:knownFonts="1">
    <font>
      <sz val="11"/>
      <color theme="1"/>
      <name val="Calibri"/>
      <family val="2"/>
      <charset val="1"/>
    </font>
    <font>
      <b/>
      <sz val="10"/>
      <color theme="1"/>
      <name val="Arial"/>
      <family val="2"/>
      <charset val="1"/>
    </font>
    <font>
      <sz val="10"/>
      <name val="Arial"/>
      <charset val="1"/>
    </font>
    <font>
      <b/>
      <sz val="10"/>
      <color rgb="FFFFFFFF"/>
      <name val="Arial"/>
      <charset val="1"/>
    </font>
    <font>
      <b/>
      <sz val="13"/>
      <color rgb="FFFFFFFF"/>
      <name val="Arial"/>
      <charset val="1"/>
    </font>
    <font>
      <b/>
      <sz val="10"/>
      <name val="Arial"/>
      <charset val="1"/>
    </font>
    <font>
      <i/>
      <sz val="9"/>
      <color rgb="FF595959"/>
      <name val="Arial"/>
      <charset val="1"/>
    </font>
    <font>
      <i/>
      <sz val="11"/>
      <color theme="0"/>
      <name val="Calibri"/>
      <family val="2"/>
      <charset val="1"/>
    </font>
    <font>
      <i/>
      <sz val="11"/>
      <color theme="1"/>
      <name val="Calibri"/>
      <family val="2"/>
      <charset val="1"/>
    </font>
    <font>
      <b/>
      <sz val="12"/>
      <color rgb="FFFFFFFF"/>
      <name val="Arial"/>
      <charset val="1"/>
    </font>
    <font>
      <b/>
      <sz val="20"/>
      <color rgb="FF1F3864"/>
      <name val="Segoe UI Semibold"/>
      <charset val="1"/>
    </font>
    <font>
      <b/>
      <sz val="14"/>
      <color rgb="FFD9D9D9"/>
      <name val="Segoe UI"/>
      <charset val="1"/>
    </font>
    <font>
      <sz val="11"/>
      <color rgb="FF595959"/>
      <name val="Segoe UI"/>
      <charset val="1"/>
    </font>
    <font>
      <sz val="13"/>
      <color rgb="FF1F3864"/>
      <name val="Segoe UI"/>
      <charset val="1"/>
    </font>
    <font>
      <b/>
      <sz val="24"/>
      <color rgb="FF1F3864"/>
      <name val="Segoe UI"/>
      <charset val="1"/>
    </font>
    <font>
      <b/>
      <sz val="13"/>
      <color rgb="FF1F3864"/>
      <name val="Segoe UI Semibold"/>
      <charset val="1"/>
    </font>
    <font>
      <b/>
      <sz val="11"/>
      <color rgb="FF1F3864"/>
      <name val="Segoe UI"/>
      <charset val="1"/>
    </font>
    <font>
      <sz val="10"/>
      <color rgb="FF595959"/>
      <name val="Segoe UI"/>
      <charset val="1"/>
    </font>
    <font>
      <b/>
      <sz val="10"/>
      <color rgb="FFFFFFFF"/>
      <name val="Segoe UI"/>
      <charset val="1"/>
    </font>
    <font>
      <b/>
      <sz val="13"/>
      <color rgb="FF1F3864"/>
      <name val="Arial"/>
      <charset val="1"/>
    </font>
    <font>
      <sz val="24"/>
      <color theme="1"/>
      <name val="Calibri"/>
      <family val="2"/>
    </font>
    <font>
      <b/>
      <sz val="9"/>
      <color theme="1"/>
      <name val="Calibri"/>
      <family val="2"/>
      <charset val="1"/>
    </font>
    <font>
      <sz val="9"/>
      <color theme="1"/>
      <name val="Calibri"/>
      <family val="2"/>
      <charset val="1"/>
    </font>
  </fonts>
  <fills count="13">
    <fill>
      <patternFill patternType="none"/>
    </fill>
    <fill>
      <patternFill patternType="gray125"/>
    </fill>
    <fill>
      <patternFill patternType="solid">
        <fgColor rgb="FF1F4E78"/>
        <bgColor rgb="FF1F497D"/>
      </patternFill>
    </fill>
    <fill>
      <patternFill patternType="solid">
        <fgColor theme="0"/>
        <bgColor rgb="FFFFF2CC"/>
      </patternFill>
    </fill>
    <fill>
      <patternFill patternType="solid">
        <fgColor rgb="FFFFF2CC"/>
        <bgColor rgb="FFFFFFFF"/>
      </patternFill>
    </fill>
    <fill>
      <patternFill patternType="solid">
        <fgColor theme="3"/>
        <bgColor rgb="FF1F4E78"/>
      </patternFill>
    </fill>
    <fill>
      <patternFill patternType="solid">
        <fgColor rgb="FF404040"/>
        <bgColor rgb="FF1F3864"/>
      </patternFill>
    </fill>
    <fill>
      <patternFill patternType="solid">
        <fgColor rgb="FF595959"/>
        <bgColor rgb="FF404040"/>
      </patternFill>
    </fill>
    <fill>
      <patternFill patternType="solid">
        <fgColor rgb="FFD9D9D9"/>
        <bgColor rgb="FFD0D0D0"/>
      </patternFill>
    </fill>
    <fill>
      <patternFill patternType="solid">
        <fgColor rgb="FFDCE3EC"/>
        <bgColor rgb="FFD9D9D9"/>
      </patternFill>
    </fill>
    <fill>
      <patternFill patternType="solid">
        <fgColor theme="0"/>
        <bgColor indexed="64"/>
      </patternFill>
    </fill>
    <fill>
      <patternFill patternType="solid">
        <fgColor theme="0"/>
        <bgColor rgb="FFD0D0D0"/>
      </patternFill>
    </fill>
    <fill>
      <patternFill patternType="solid">
        <fgColor theme="0"/>
        <bgColor rgb="FF1F497D"/>
      </patternFill>
    </fill>
  </fills>
  <borders count="13">
    <border>
      <left/>
      <right/>
      <top/>
      <bottom/>
      <diagonal/>
    </border>
    <border>
      <left style="thin">
        <color auto="1"/>
      </left>
      <right style="thin">
        <color auto="1"/>
      </right>
      <top style="thin">
        <color auto="1"/>
      </top>
      <bottom style="thin">
        <color auto="1"/>
      </bottom>
      <diagonal/>
    </border>
    <border>
      <left/>
      <right/>
      <top style="medium">
        <color auto="1"/>
      </top>
      <bottom style="thin">
        <color auto="1"/>
      </bottom>
      <diagonal/>
    </border>
    <border>
      <left style="thin">
        <color rgb="FFBFBFBF"/>
      </left>
      <right style="thin">
        <color rgb="FFBFBFBF"/>
      </right>
      <top style="thin">
        <color rgb="FFBFBFBF"/>
      </top>
      <bottom style="thin">
        <color rgb="FFBFBFB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6">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165" fontId="2" fillId="0" borderId="0" xfId="0" applyNumberFormat="1" applyFont="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0" fontId="3" fillId="2" borderId="0" xfId="0" applyFont="1" applyFill="1"/>
    <xf numFmtId="0" fontId="5" fillId="0" borderId="1" xfId="0" applyFont="1" applyBorder="1"/>
    <xf numFmtId="0" fontId="2" fillId="4" borderId="1" xfId="0" applyFont="1" applyFill="1" applyBorder="1"/>
    <xf numFmtId="0" fontId="0" fillId="0" borderId="1" xfId="0" applyBorder="1"/>
    <xf numFmtId="0" fontId="2" fillId="0" borderId="1" xfId="0" applyFont="1" applyBorder="1"/>
    <xf numFmtId="166" fontId="2" fillId="0" borderId="1" xfId="0" applyNumberFormat="1" applyFont="1" applyBorder="1" applyAlignment="1">
      <alignment horizontal="center" vertical="center"/>
    </xf>
    <xf numFmtId="167" fontId="2" fillId="0" borderId="1" xfId="0" applyNumberFormat="1" applyFont="1" applyBorder="1" applyAlignment="1">
      <alignment horizontal="center" vertical="center"/>
    </xf>
    <xf numFmtId="0" fontId="5"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0" fontId="2" fillId="3" borderId="1" xfId="0" applyFont="1" applyFill="1" applyBorder="1" applyAlignment="1">
      <alignment horizontal="center" vertical="center"/>
    </xf>
    <xf numFmtId="165" fontId="2" fillId="3" borderId="1" xfId="0" applyNumberFormat="1" applyFont="1" applyFill="1" applyBorder="1" applyAlignment="1">
      <alignment horizontal="center" vertical="center"/>
    </xf>
    <xf numFmtId="168" fontId="2" fillId="0" borderId="1" xfId="0" applyNumberFormat="1" applyFont="1" applyBorder="1" applyAlignment="1">
      <alignment horizontal="center" vertical="center"/>
    </xf>
    <xf numFmtId="0" fontId="6" fillId="0" borderId="0" xfId="0" applyFont="1"/>
    <xf numFmtId="9" fontId="2" fillId="3" borderId="1" xfId="0" applyNumberFormat="1" applyFont="1" applyFill="1" applyBorder="1" applyAlignment="1">
      <alignment horizontal="center" vertical="center"/>
    </xf>
    <xf numFmtId="0" fontId="8" fillId="0" borderId="1" xfId="0" applyFont="1" applyBorder="1" applyAlignment="1">
      <alignment horizontal="center"/>
    </xf>
    <xf numFmtId="0" fontId="3" fillId="7" borderId="3" xfId="0" applyFont="1" applyFill="1" applyBorder="1"/>
    <xf numFmtId="0" fontId="2" fillId="0" borderId="3" xfId="0" applyFont="1" applyBorder="1" applyAlignment="1">
      <alignment horizontal="center" vertical="center"/>
    </xf>
    <xf numFmtId="165" fontId="2" fillId="0" borderId="3" xfId="0" applyNumberFormat="1" applyFont="1" applyBorder="1" applyAlignment="1">
      <alignment horizontal="center" vertical="center"/>
    </xf>
    <xf numFmtId="0" fontId="5" fillId="8" borderId="3" xfId="0" applyFont="1" applyFill="1" applyBorder="1" applyAlignment="1">
      <alignment horizontal="center" vertical="center"/>
    </xf>
    <xf numFmtId="165" fontId="5" fillId="8" borderId="3" xfId="0" applyNumberFormat="1" applyFont="1" applyFill="1" applyBorder="1" applyAlignment="1">
      <alignment horizontal="center" vertical="center"/>
    </xf>
    <xf numFmtId="0" fontId="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0" fillId="0" borderId="1" xfId="0" pivotButton="1" applyBorder="1"/>
    <xf numFmtId="0" fontId="0" fillId="0" borderId="1" xfId="0" applyBorder="1" applyAlignment="1">
      <alignment horizontal="left"/>
    </xf>
    <xf numFmtId="165" fontId="0" fillId="0" borderId="1" xfId="0" applyNumberFormat="1" applyBorder="1"/>
    <xf numFmtId="165" fontId="2" fillId="0" borderId="1" xfId="0" applyNumberFormat="1" applyFont="1" applyBorder="1"/>
    <xf numFmtId="3" fontId="2" fillId="0" borderId="1" xfId="0" applyNumberFormat="1" applyFont="1" applyBorder="1"/>
    <xf numFmtId="0" fontId="17" fillId="3" borderId="0" xfId="0" applyFont="1" applyFill="1" applyAlignment="1">
      <alignment vertical="center"/>
    </xf>
    <xf numFmtId="0" fontId="16" fillId="11" borderId="0" xfId="0" applyFont="1" applyFill="1" applyAlignment="1">
      <alignment vertical="center"/>
    </xf>
    <xf numFmtId="0" fontId="0" fillId="10" borderId="0" xfId="0" applyFill="1"/>
    <xf numFmtId="0" fontId="18" fillId="12" borderId="0" xfId="0" applyFont="1" applyFill="1" applyAlignment="1">
      <alignment vertical="center"/>
    </xf>
    <xf numFmtId="0" fontId="0" fillId="0" borderId="5" xfId="0" applyBorder="1"/>
    <xf numFmtId="0" fontId="0" fillId="0" borderId="7" xfId="0" applyBorder="1"/>
    <xf numFmtId="0" fontId="0" fillId="0" borderId="8" xfId="0" applyBorder="1"/>
    <xf numFmtId="0" fontId="16" fillId="11" borderId="10" xfId="0" applyFont="1" applyFill="1" applyBorder="1" applyAlignment="1">
      <alignment vertical="center"/>
    </xf>
    <xf numFmtId="0" fontId="0" fillId="0" borderId="10" xfId="0" applyBorder="1"/>
    <xf numFmtId="0" fontId="0" fillId="0" borderId="11" xfId="0" applyBorder="1"/>
    <xf numFmtId="0" fontId="11" fillId="0" borderId="5" xfId="0" applyFont="1" applyBorder="1" applyAlignment="1">
      <alignment vertical="center"/>
    </xf>
    <xf numFmtId="0" fontId="11" fillId="0" borderId="6" xfId="0" applyFont="1" applyBorder="1" applyAlignment="1">
      <alignment vertical="center"/>
    </xf>
    <xf numFmtId="0" fontId="11" fillId="0" borderId="0" xfId="0" applyFont="1" applyAlignment="1">
      <alignment vertical="center"/>
    </xf>
    <xf numFmtId="0" fontId="11" fillId="0" borderId="8" xfId="0" applyFont="1" applyBorder="1" applyAlignment="1">
      <alignment vertical="center"/>
    </xf>
    <xf numFmtId="0" fontId="0" fillId="0" borderId="4" xfId="0" applyBorder="1"/>
    <xf numFmtId="0" fontId="0" fillId="0" borderId="9" xfId="0" applyBorder="1"/>
    <xf numFmtId="0" fontId="15" fillId="0" borderId="0" xfId="0" applyFont="1" applyAlignment="1">
      <alignment vertical="center"/>
    </xf>
    <xf numFmtId="0" fontId="21" fillId="0" borderId="4" xfId="0" applyFont="1" applyBorder="1"/>
    <xf numFmtId="0" fontId="22" fillId="0" borderId="5" xfId="0" applyFont="1" applyBorder="1"/>
    <xf numFmtId="0" fontId="22" fillId="0" borderId="6" xfId="0" applyFont="1" applyBorder="1"/>
    <xf numFmtId="0" fontId="22" fillId="0" borderId="7" xfId="0" applyFont="1" applyBorder="1"/>
    <xf numFmtId="0" fontId="22" fillId="0" borderId="0" xfId="0" applyFont="1"/>
    <xf numFmtId="0" fontId="22" fillId="0" borderId="8" xfId="0" applyFont="1" applyBorder="1"/>
    <xf numFmtId="0" fontId="21" fillId="0" borderId="7" xfId="0" applyFont="1" applyBorder="1"/>
    <xf numFmtId="0" fontId="22" fillId="0" borderId="9" xfId="0" applyFont="1" applyBorder="1"/>
    <xf numFmtId="0" fontId="22" fillId="0" borderId="10" xfId="0" applyFont="1" applyBorder="1"/>
    <xf numFmtId="0" fontId="22" fillId="0" borderId="11" xfId="0" applyFont="1" applyBorder="1"/>
    <xf numFmtId="0" fontId="0" fillId="0" borderId="12" xfId="0" applyBorder="1"/>
    <xf numFmtId="0" fontId="9" fillId="6" borderId="0" xfId="0" applyFont="1" applyFill="1"/>
    <xf numFmtId="0" fontId="0" fillId="0" borderId="0" xfId="0"/>
    <xf numFmtId="0" fontId="6" fillId="0" borderId="0" xfId="0" applyFont="1"/>
    <xf numFmtId="0" fontId="19" fillId="0" borderId="0" xfId="0" applyFont="1"/>
    <xf numFmtId="0" fontId="15" fillId="0" borderId="0" xfId="0" applyFont="1" applyAlignment="1">
      <alignment horizontal="center" vertical="center"/>
    </xf>
    <xf numFmtId="0" fontId="13" fillId="9" borderId="0" xfId="0" applyFont="1" applyFill="1" applyAlignment="1">
      <alignment horizontal="center" vertical="center"/>
    </xf>
    <xf numFmtId="0" fontId="10" fillId="0" borderId="5" xfId="0" applyFont="1" applyBorder="1"/>
    <xf numFmtId="0" fontId="0" fillId="0" borderId="5" xfId="0" applyBorder="1"/>
    <xf numFmtId="0" fontId="20" fillId="0" borderId="5" xfId="0" applyFont="1" applyBorder="1" applyAlignment="1">
      <alignment horizontal="right"/>
    </xf>
    <xf numFmtId="0" fontId="20" fillId="0" borderId="0" xfId="0" applyFont="1" applyAlignment="1">
      <alignment horizontal="right"/>
    </xf>
    <xf numFmtId="169" fontId="14" fillId="9" borderId="0" xfId="0" applyNumberFormat="1" applyFont="1" applyFill="1" applyAlignment="1">
      <alignment horizontal="center" vertical="center"/>
    </xf>
    <xf numFmtId="165" fontId="14" fillId="9" borderId="0" xfId="0" applyNumberFormat="1" applyFont="1" applyFill="1" applyAlignment="1">
      <alignment horizontal="center" vertical="center"/>
    </xf>
    <xf numFmtId="3" fontId="14" fillId="9" borderId="0" xfId="0" applyNumberFormat="1" applyFont="1" applyFill="1" applyAlignment="1">
      <alignment horizontal="center" vertical="center"/>
    </xf>
    <xf numFmtId="0" fontId="12" fillId="0" borderId="0" xfId="0" applyFont="1"/>
    <xf numFmtId="0" fontId="4" fillId="2" borderId="0" xfId="0" applyFont="1" applyFill="1"/>
    <xf numFmtId="0" fontId="4" fillId="3" borderId="0" xfId="0" applyFont="1" applyFill="1"/>
    <xf numFmtId="0" fontId="7" fillId="5" borderId="2" xfId="0" applyFont="1" applyFill="1" applyBorder="1" applyAlignment="1">
      <alignment horizontal="center"/>
    </xf>
    <xf numFmtId="0" fontId="0" fillId="0" borderId="2" xfId="0" applyBorder="1"/>
    <xf numFmtId="0" fontId="9" fillId="6" borderId="0" xfId="0" applyFont="1" applyFill="1" applyAlignment="1">
      <alignment horizontal="center" vertical="center"/>
    </xf>
  </cellXfs>
  <cellStyles count="1">
    <cellStyle name="Normal" xfId="0" builtinId="0"/>
  </cellStyles>
  <dxfs count="14">
    <dxf>
      <font>
        <sz val="10"/>
        <color rgb="FF006100"/>
        <name val="Arial"/>
        <charset val="1"/>
      </font>
      <fill>
        <patternFill>
          <bgColor rgb="FFC6EF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4F81BD"/>
      <rgbColor rgb="FFBFBFBF"/>
      <rgbColor rgb="FF808080"/>
      <rgbColor rgb="FF9999FF"/>
      <rgbColor rgb="FF7030A0"/>
      <rgbColor rgb="FFFFF2CC"/>
      <rgbColor rgb="FFDCE3EC"/>
      <rgbColor rgb="FF660066"/>
      <rgbColor rgb="FFFF8080"/>
      <rgbColor rgb="FF1F4E78"/>
      <rgbColor rgb="FFD0D0D0"/>
      <rgbColor rgb="FF000080"/>
      <rgbColor rgb="FFFF00FF"/>
      <rgbColor rgb="FFFFFF00"/>
      <rgbColor rgb="FF00FFFF"/>
      <rgbColor rgb="FF800080"/>
      <rgbColor rgb="FF800000"/>
      <rgbColor rgb="FF008080"/>
      <rgbColor rgb="FF0000FF"/>
      <rgbColor rgb="FF00CCFF"/>
      <rgbColor rgb="FFCCFFFF"/>
      <rgbColor rgb="FFC6EFCE"/>
      <rgbColor rgb="FFFFFF99"/>
      <rgbColor rgb="FFB3B3B3"/>
      <rgbColor rgb="FFFF99CC"/>
      <rgbColor rgb="FFCC99FF"/>
      <rgbColor rgb="FFD9D9D9"/>
      <rgbColor rgb="FF4472C4"/>
      <rgbColor rgb="FF33CCCC"/>
      <rgbColor rgb="FF9BBB59"/>
      <rgbColor rgb="FFFFC000"/>
      <rgbColor rgb="FFFF9900"/>
      <rgbColor rgb="FFFF6600"/>
      <rgbColor rgb="FF595959"/>
      <rgbColor rgb="FFA6A6A6"/>
      <rgbColor rgb="FF1F3864"/>
      <rgbColor rgb="FF2E7D32"/>
      <rgbColor rgb="FF003300"/>
      <rgbColor rgb="FF333300"/>
      <rgbColor rgb="FF993300"/>
      <rgbColor rgb="FFC0504D"/>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6495783336232944"/>
          <c:y val="6.922176541193148E-2"/>
          <c:w val="0.83335125159675338"/>
          <c:h val="0.75839030674589125"/>
        </c:manualLayout>
      </c:layout>
      <c:lineChart>
        <c:grouping val="standard"/>
        <c:varyColors val="0"/>
        <c:ser>
          <c:idx val="0"/>
          <c:order val="0"/>
          <c:tx>
            <c:strRef>
              <c:f>PivotTables!$E$20</c:f>
              <c:strCache>
                <c:ptCount val="1"/>
                <c:pt idx="0">
                  <c:v>Grand Total</c:v>
                </c:pt>
              </c:strCache>
            </c:strRef>
          </c:tx>
          <c:spPr>
            <a:ln w="20160">
              <a:solidFill>
                <a:srgbClr val="1F3864"/>
              </a:solidFill>
              <a:prstDash val="solid"/>
              <a:round/>
            </a:ln>
          </c:spPr>
          <c:marker>
            <c:symbol val="none"/>
          </c:marker>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PivotTables!$A$21:$A$33</c:f>
              <c:strCache>
                <c:ptCount val="13"/>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strCache>
            </c:strRef>
          </c:cat>
          <c:val>
            <c:numRef>
              <c:f>PivotTables!$E$21:$E$33</c:f>
              <c:numCache>
                <c:formatCode>\$#,##0.00</c:formatCode>
                <c:ptCount val="13"/>
                <c:pt idx="0">
                  <c:v>20919.329999999998</c:v>
                </c:pt>
                <c:pt idx="1">
                  <c:v>17039.349999999999</c:v>
                </c:pt>
                <c:pt idx="2">
                  <c:v>19299.449999999997</c:v>
                </c:pt>
                <c:pt idx="3">
                  <c:v>18479.399999999998</c:v>
                </c:pt>
                <c:pt idx="4">
                  <c:v>15759.429999999997</c:v>
                </c:pt>
                <c:pt idx="5">
                  <c:v>12989.509999999998</c:v>
                </c:pt>
                <c:pt idx="6">
                  <c:v>20609.52</c:v>
                </c:pt>
                <c:pt idx="7">
                  <c:v>12309.44</c:v>
                </c:pt>
                <c:pt idx="8">
                  <c:v>23039.299999999996</c:v>
                </c:pt>
                <c:pt idx="9">
                  <c:v>25799.149999999998</c:v>
                </c:pt>
                <c:pt idx="10">
                  <c:v>16069.380000000001</c:v>
                </c:pt>
                <c:pt idx="11">
                  <c:v>19899.379999999997</c:v>
                </c:pt>
                <c:pt idx="12">
                  <c:v>6979.83</c:v>
                </c:pt>
              </c:numCache>
            </c:numRef>
          </c:val>
          <c:smooth val="0"/>
          <c:extLst>
            <c:ext xmlns:c16="http://schemas.microsoft.com/office/drawing/2014/chart" uri="{C3380CC4-5D6E-409C-BE32-E72D297353CC}">
              <c16:uniqueId val="{00000000-3390-412D-AFB3-A44DF901F443}"/>
            </c:ext>
          </c:extLst>
        </c:ser>
        <c:dLbls>
          <c:showLegendKey val="0"/>
          <c:showVal val="0"/>
          <c:showCatName val="0"/>
          <c:showSerName val="0"/>
          <c:showPercent val="0"/>
          <c:showBubbleSize val="0"/>
        </c:dLbls>
        <c:hiLowLines>
          <c:spPr>
            <a:ln w="0">
              <a:noFill/>
              <a:prstDash val="solid"/>
            </a:ln>
          </c:spPr>
        </c:hiLowLines>
        <c:smooth val="0"/>
        <c:axId val="89817048"/>
        <c:axId val="40078424"/>
      </c:lineChart>
      <c:catAx>
        <c:axId val="89817048"/>
        <c:scaling>
          <c:orientation val="minMax"/>
        </c:scaling>
        <c:delete val="0"/>
        <c:axPos val="b"/>
        <c:numFmt formatCode="General"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40078424"/>
        <c:crosses val="autoZero"/>
        <c:auto val="1"/>
        <c:lblAlgn val="ctr"/>
        <c:lblOffset val="100"/>
        <c:noMultiLvlLbl val="0"/>
      </c:catAx>
      <c:valAx>
        <c:axId val="40078424"/>
        <c:scaling>
          <c:orientation val="minMax"/>
        </c:scaling>
        <c:delete val="1"/>
        <c:axPos val="l"/>
        <c:numFmt formatCode="\$#,##0.00" sourceLinked="1"/>
        <c:majorTickMark val="none"/>
        <c:minorTickMark val="none"/>
        <c:tickLblPos val="nextTo"/>
        <c:crossAx val="89817048"/>
        <c:crosses val="autoZero"/>
        <c:crossBetween val="between"/>
      </c:valAx>
      <c:spPr>
        <a:noFill/>
        <a:ln w="25400">
          <a:noFill/>
        </a:ln>
      </c:spPr>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0"/>
        <c:dLbls>
          <c:showLegendKey val="0"/>
          <c:showVal val="0"/>
          <c:showCatName val="0"/>
          <c:showSerName val="0"/>
          <c:showPercent val="0"/>
          <c:showBubbleSize val="0"/>
        </c:dLbls>
        <c:gapWidth val="150"/>
        <c:axId val="72516146"/>
        <c:axId val="98067334"/>
      </c:barChart>
      <c:catAx>
        <c:axId val="72516146"/>
        <c:scaling>
          <c:orientation val="minMax"/>
        </c:scaling>
        <c:delete val="0"/>
        <c:axPos val="b"/>
        <c:numFmt formatCode="General"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98067334"/>
        <c:crosses val="autoZero"/>
        <c:auto val="1"/>
        <c:lblAlgn val="ctr"/>
        <c:lblOffset val="100"/>
        <c:noMultiLvlLbl val="0"/>
      </c:catAx>
      <c:valAx>
        <c:axId val="98067334"/>
        <c:scaling>
          <c:orientation val="minMax"/>
        </c:scaling>
        <c:delete val="0"/>
        <c:axPos val="l"/>
        <c:numFmt formatCode="General"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72516146"/>
        <c:crosses val="autoZero"/>
        <c:crossBetween val="between"/>
      </c:valAx>
      <c:spPr>
        <a:noFill/>
        <a:ln w="25400">
          <a:noFill/>
        </a:ln>
      </c:spPr>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PR.xlsx]Dashboard Resources!PivotTable1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Resources'!$B$11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'Dashboard Resources'!$A$12:$A$22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'Dashboard Resources'!$B$12:$B$22</c:f>
              <c:numCache>
                <c:formatCode>\$#,##0.00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smooth val="0"/>
          <c:extLst>
            <c:ext xmlns:c16="http://schemas.microsoft.com/office/drawing/2014/chart" uri="{C3380CC4-5D6E-409C-BE32-E72D297353CC}">
              <c16:uniqueId val="{00000000-CABC-48B4-9F1A-847584DA8A2A}"/>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57372767"/>
        <c:axId val="2079551888"/>
      </c:lineChart>
      <c:catAx>
        <c:axId val="573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551888"/>
        <c:crosses val="autoZero"/>
        <c:auto val="1"/>
        <c:lblAlgn val="ctr"/>
        <c:lblOffset val="100"/>
        <c:noMultiLvlLbl val="0"/>
      </c:catAx>
      <c:valAx>
        <c:axId val="2079551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PR.xlsx]Dashboard Resources!PivotTable2</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'Dashboard Resources'!$B$24</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4FA-4A74-9820-DA4E06C5F3D3}"/>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FA-4A74-9820-DA4E06C5F3D3}"/>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4FA-4A74-9820-DA4E06C5F3D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 Resources'!$A$25:$A$28</c:f>
              <c:strCache>
                <c:ptCount val="3"/>
                <c:pt idx="0">
                  <c:v>Basic</c:v>
                </c:pt>
                <c:pt idx="1">
                  <c:v>Premium</c:v>
                </c:pt>
                <c:pt idx="2">
                  <c:v>Standard</c:v>
                </c:pt>
              </c:strCache>
            </c:strRef>
          </c:cat>
          <c:val>
            <c:numRef>
              <c:f>'Dashboard Resources'!$B$25:$B$28</c:f>
              <c:numCache>
                <c:formatCode>\$#,##0.00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44FA-4A74-9820-DA4E06C5F3D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Revenue by Region</a:t>
            </a:r>
          </a:p>
        </c:rich>
      </c:tx>
      <c:overlay val="0"/>
      <c:spPr>
        <a:noFill/>
        <a:ln w="0">
          <a:noFill/>
          <a:prstDash val="solid"/>
        </a:ln>
      </c:spPr>
    </c:title>
    <c:autoTitleDeleted val="0"/>
    <c:plotArea>
      <c:layout/>
      <c:barChart>
        <c:barDir val="col"/>
        <c:grouping val="clustered"/>
        <c:varyColors val="0"/>
        <c:ser>
          <c:idx val="0"/>
          <c:order val="0"/>
          <c:tx>
            <c:strRef>
              <c:f>PivotTables!$B$2</c:f>
              <c:strCache>
                <c:ptCount val="1"/>
                <c:pt idx="0">
                  <c:v>Sum of Total_Amount</c:v>
                </c:pt>
              </c:strCache>
            </c:strRef>
          </c:tx>
          <c:spPr>
            <a:solidFill>
              <a:srgbClr val="4F81BD"/>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PivotTables!$A$3:$A$7</c:f>
              <c:strCache>
                <c:ptCount val="5"/>
                <c:pt idx="0">
                  <c:v>East</c:v>
                </c:pt>
                <c:pt idx="1">
                  <c:v>North</c:v>
                </c:pt>
                <c:pt idx="2">
                  <c:v>West</c:v>
                </c:pt>
                <c:pt idx="3">
                  <c:v>Central</c:v>
                </c:pt>
                <c:pt idx="4">
                  <c:v>South</c:v>
                </c:pt>
              </c:strCache>
            </c:strRef>
          </c:cat>
          <c:val>
            <c:numRef>
              <c:f>PivotTables!$B$3:$B$7</c:f>
              <c:numCache>
                <c:formatCode>\$#,##0.00</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0-6479-470F-BD1E-153137F5FB77}"/>
            </c:ext>
          </c:extLst>
        </c:ser>
        <c:dLbls>
          <c:showLegendKey val="0"/>
          <c:showVal val="0"/>
          <c:showCatName val="0"/>
          <c:showSerName val="0"/>
          <c:showPercent val="0"/>
          <c:showBubbleSize val="0"/>
        </c:dLbls>
        <c:gapWidth val="150"/>
        <c:axId val="16971825"/>
        <c:axId val="60353312"/>
      </c:barChart>
      <c:catAx>
        <c:axId val="16971825"/>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60353312"/>
        <c:crosses val="autoZero"/>
        <c:auto val="1"/>
        <c:lblAlgn val="ctr"/>
        <c:lblOffset val="100"/>
        <c:noMultiLvlLbl val="0"/>
      </c:catAx>
      <c:valAx>
        <c:axId val="60353312"/>
        <c:scaling>
          <c:orientation val="minMax"/>
        </c:scaling>
        <c:delete val="0"/>
        <c:axPos val="l"/>
        <c:majorGridlines>
          <c:spPr>
            <a:ln w="0">
              <a:solidFill>
                <a:srgbClr val="B3B3B3"/>
              </a:solidFill>
              <a:prstDash val="solid"/>
            </a:ln>
          </c:spPr>
        </c:majorGridlines>
        <c:numFmt formatCode="\$#,##0.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16971825"/>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IN" sz="1400" b="0" strike="noStrike" spc="-1">
                <a:solidFill>
                  <a:srgbClr val="595959"/>
                </a:solidFill>
                <a:latin typeface="Calibri"/>
              </a:defRPr>
            </a:pPr>
            <a:r>
              <a:rPr lang="en-IN" sz="1400" b="0" strike="noStrike" spc="-1">
                <a:solidFill>
                  <a:srgbClr val="595959"/>
                </a:solidFill>
                <a:latin typeface="Calibri"/>
              </a:rPr>
              <a:t>Revenue by Category — Monthly Trend</a:t>
            </a:r>
          </a:p>
        </c:rich>
      </c:tx>
      <c:overlay val="0"/>
      <c:spPr>
        <a:noFill/>
        <a:ln w="0">
          <a:noFill/>
          <a:prstDash val="solid"/>
        </a:ln>
      </c:spPr>
    </c:title>
    <c:autoTitleDeleted val="0"/>
    <c:plotArea>
      <c:layout/>
      <c:lineChart>
        <c:grouping val="standard"/>
        <c:varyColors val="0"/>
        <c:ser>
          <c:idx val="0"/>
          <c:order val="0"/>
          <c:tx>
            <c:strRef>
              <c:f>PivotTables!$B$20</c:f>
              <c:strCache>
                <c:ptCount val="1"/>
                <c:pt idx="0">
                  <c:v>Appliances</c:v>
                </c:pt>
              </c:strCache>
            </c:strRef>
          </c:tx>
          <c:spPr>
            <a:ln w="28440" cap="rnd">
              <a:solidFill>
                <a:srgbClr val="4F81BD"/>
              </a:solidFill>
              <a:prstDash val="solid"/>
              <a:round/>
            </a:ln>
          </c:spPr>
          <c:marker>
            <c:symbol val="none"/>
          </c:marker>
          <c:dLbls>
            <c:spPr>
              <a:noFill/>
              <a:ln>
                <a:noFill/>
              </a:ln>
              <a:effectLst/>
            </c:spPr>
            <c:txPr>
              <a:bodyPr wrap="square"/>
              <a:lstStyle/>
              <a:p>
                <a:pPr>
                  <a:defRPr sz="900" b="0" strike="noStrike" spc="-1">
                    <a:solidFill>
                      <a:srgbClr val="40404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PivotTables!$A$21:$A$33</c:f>
              <c:strCache>
                <c:ptCount val="13"/>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strCache>
            </c:strRef>
          </c:cat>
          <c:val>
            <c:numRef>
              <c:f>PivotTables!$B$21:$B$33</c:f>
              <c:numCache>
                <c:formatCode>\$#,##0.00</c:formatCode>
                <c:ptCount val="13"/>
                <c:pt idx="0">
                  <c:v>1019.83</c:v>
                </c:pt>
                <c:pt idx="1">
                  <c:v>919.87</c:v>
                </c:pt>
                <c:pt idx="2">
                  <c:v>499.92</c:v>
                </c:pt>
                <c:pt idx="3">
                  <c:v>939.86</c:v>
                </c:pt>
                <c:pt idx="4">
                  <c:v>239.97</c:v>
                </c:pt>
                <c:pt idx="5">
                  <c:v>759.89</c:v>
                </c:pt>
                <c:pt idx="6">
                  <c:v>119.98</c:v>
                </c:pt>
                <c:pt idx="7">
                  <c:v>539.91</c:v>
                </c:pt>
                <c:pt idx="8">
                  <c:v>859.88</c:v>
                </c:pt>
                <c:pt idx="9">
                  <c:v>619.9</c:v>
                </c:pt>
                <c:pt idx="10">
                  <c:v>839.87</c:v>
                </c:pt>
                <c:pt idx="11">
                  <c:v>739.89</c:v>
                </c:pt>
                <c:pt idx="12">
                  <c:v>239.97</c:v>
                </c:pt>
              </c:numCache>
            </c:numRef>
          </c:val>
          <c:smooth val="1"/>
          <c:extLst>
            <c:ext xmlns:c16="http://schemas.microsoft.com/office/drawing/2014/chart" uri="{C3380CC4-5D6E-409C-BE32-E72D297353CC}">
              <c16:uniqueId val="{00000000-247D-4EF8-8BD1-057E5CC761EC}"/>
            </c:ext>
          </c:extLst>
        </c:ser>
        <c:ser>
          <c:idx val="1"/>
          <c:order val="1"/>
          <c:tx>
            <c:strRef>
              <c:f>PivotTables!$C$20</c:f>
              <c:strCache>
                <c:ptCount val="1"/>
                <c:pt idx="0">
                  <c:v>Electronics</c:v>
                </c:pt>
              </c:strCache>
            </c:strRef>
          </c:tx>
          <c:spPr>
            <a:ln w="28440" cap="rnd">
              <a:solidFill>
                <a:srgbClr val="C0504D"/>
              </a:solidFill>
              <a:prstDash val="solid"/>
              <a:round/>
            </a:ln>
          </c:spPr>
          <c:marker>
            <c:symbol val="none"/>
          </c:marker>
          <c:dLbls>
            <c:spPr>
              <a:noFill/>
              <a:ln>
                <a:noFill/>
              </a:ln>
              <a:effectLst/>
            </c:spPr>
            <c:txPr>
              <a:bodyPr wrap="square"/>
              <a:lstStyle/>
              <a:p>
                <a:pPr>
                  <a:defRPr sz="900" b="0" strike="noStrike" spc="-1">
                    <a:solidFill>
                      <a:srgbClr val="40404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PivotTables!$A$21:$A$33</c:f>
              <c:strCache>
                <c:ptCount val="13"/>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strCache>
            </c:strRef>
          </c:cat>
          <c:val>
            <c:numRef>
              <c:f>PivotTables!$C$21:$C$33</c:f>
              <c:numCache>
                <c:formatCode>\$#,##0.00</c:formatCode>
                <c:ptCount val="13"/>
                <c:pt idx="0">
                  <c:v>17199.679999999997</c:v>
                </c:pt>
                <c:pt idx="1">
                  <c:v>10169.729999999998</c:v>
                </c:pt>
                <c:pt idx="2">
                  <c:v>17749.579999999998</c:v>
                </c:pt>
                <c:pt idx="3">
                  <c:v>14439.679999999997</c:v>
                </c:pt>
                <c:pt idx="4">
                  <c:v>10869.689999999999</c:v>
                </c:pt>
                <c:pt idx="5">
                  <c:v>9279.75</c:v>
                </c:pt>
                <c:pt idx="6">
                  <c:v>17939.64</c:v>
                </c:pt>
                <c:pt idx="7">
                  <c:v>7969.7399999999989</c:v>
                </c:pt>
                <c:pt idx="8">
                  <c:v>17029.659999999996</c:v>
                </c:pt>
                <c:pt idx="9">
                  <c:v>18429.519999999997</c:v>
                </c:pt>
                <c:pt idx="10">
                  <c:v>8229.83</c:v>
                </c:pt>
                <c:pt idx="11">
                  <c:v>15709.689999999999</c:v>
                </c:pt>
                <c:pt idx="12">
                  <c:v>6739.86</c:v>
                </c:pt>
              </c:numCache>
            </c:numRef>
          </c:val>
          <c:smooth val="1"/>
          <c:extLst>
            <c:ext xmlns:c16="http://schemas.microsoft.com/office/drawing/2014/chart" uri="{C3380CC4-5D6E-409C-BE32-E72D297353CC}">
              <c16:uniqueId val="{00000001-247D-4EF8-8BD1-057E5CC761EC}"/>
            </c:ext>
          </c:extLst>
        </c:ser>
        <c:ser>
          <c:idx val="2"/>
          <c:order val="2"/>
          <c:tx>
            <c:strRef>
              <c:f>PivotTables!$D$20</c:f>
              <c:strCache>
                <c:ptCount val="1"/>
                <c:pt idx="0">
                  <c:v>Furniture</c:v>
                </c:pt>
              </c:strCache>
            </c:strRef>
          </c:tx>
          <c:spPr>
            <a:ln w="28440" cap="rnd">
              <a:solidFill>
                <a:srgbClr val="9BBB59"/>
              </a:solidFill>
              <a:prstDash val="solid"/>
              <a:round/>
            </a:ln>
          </c:spPr>
          <c:marker>
            <c:symbol val="none"/>
          </c:marker>
          <c:dLbls>
            <c:spPr>
              <a:noFill/>
              <a:ln>
                <a:noFill/>
              </a:ln>
              <a:effectLst/>
            </c:spPr>
            <c:txPr>
              <a:bodyPr wrap="square"/>
              <a:lstStyle/>
              <a:p>
                <a:pPr>
                  <a:defRPr sz="900" b="0" strike="noStrike" spc="-1">
                    <a:solidFill>
                      <a:srgbClr val="40404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PivotTables!$A$21:$A$33</c:f>
              <c:strCache>
                <c:ptCount val="13"/>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strCache>
            </c:strRef>
          </c:cat>
          <c:val>
            <c:numRef>
              <c:f>PivotTables!$D$21:$D$33</c:f>
              <c:numCache>
                <c:formatCode>\$#,##0.00</c:formatCode>
                <c:ptCount val="13"/>
                <c:pt idx="0">
                  <c:v>2699.82</c:v>
                </c:pt>
                <c:pt idx="1">
                  <c:v>5949.75</c:v>
                </c:pt>
                <c:pt idx="2">
                  <c:v>1049.95</c:v>
                </c:pt>
                <c:pt idx="3">
                  <c:v>3099.8600000000006</c:v>
                </c:pt>
                <c:pt idx="4">
                  <c:v>4649.7699999999995</c:v>
                </c:pt>
                <c:pt idx="5">
                  <c:v>2949.87</c:v>
                </c:pt>
                <c:pt idx="6">
                  <c:v>2549.9</c:v>
                </c:pt>
                <c:pt idx="7">
                  <c:v>3799.7900000000004</c:v>
                </c:pt>
                <c:pt idx="8">
                  <c:v>5149.76</c:v>
                </c:pt>
                <c:pt idx="9">
                  <c:v>6749.7300000000005</c:v>
                </c:pt>
                <c:pt idx="10">
                  <c:v>6999.68</c:v>
                </c:pt>
                <c:pt idx="11">
                  <c:v>3449.8</c:v>
                </c:pt>
                <c:pt idx="12">
                  <c:v>0</c:v>
                </c:pt>
              </c:numCache>
            </c:numRef>
          </c:val>
          <c:smooth val="1"/>
          <c:extLst>
            <c:ext xmlns:c16="http://schemas.microsoft.com/office/drawing/2014/chart" uri="{C3380CC4-5D6E-409C-BE32-E72D297353CC}">
              <c16:uniqueId val="{00000002-247D-4EF8-8BD1-057E5CC761EC}"/>
            </c:ext>
          </c:extLst>
        </c:ser>
        <c:dLbls>
          <c:showLegendKey val="0"/>
          <c:showVal val="0"/>
          <c:showCatName val="0"/>
          <c:showSerName val="0"/>
          <c:showPercent val="0"/>
          <c:showBubbleSize val="0"/>
        </c:dLbls>
        <c:hiLowLines>
          <c:spPr>
            <a:ln w="0">
              <a:noFill/>
              <a:prstDash val="solid"/>
            </a:ln>
          </c:spPr>
        </c:hiLowLines>
        <c:smooth val="0"/>
        <c:axId val="20202879"/>
        <c:axId val="7183649"/>
      </c:lineChart>
      <c:catAx>
        <c:axId val="20202879"/>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Calibri"/>
              </a:defRPr>
            </a:pPr>
            <a:endParaRPr lang="en-US"/>
          </a:p>
        </c:txPr>
        <c:crossAx val="7183649"/>
        <c:crosses val="autoZero"/>
        <c:auto val="1"/>
        <c:lblAlgn val="ctr"/>
        <c:lblOffset val="100"/>
        <c:noMultiLvlLbl val="0"/>
      </c:catAx>
      <c:valAx>
        <c:axId val="7183649"/>
        <c:scaling>
          <c:orientation val="minMax"/>
        </c:scaling>
        <c:delete val="0"/>
        <c:axPos val="l"/>
        <c:majorGridlines>
          <c:spPr>
            <a:ln w="9360">
              <a:solidFill>
                <a:srgbClr val="D9D9D9"/>
              </a:solidFill>
              <a:prstDash val="solid"/>
              <a:round/>
            </a:ln>
          </c:spPr>
        </c:majorGridlines>
        <c:numFmt formatCode="\$#,##0.00" sourceLinked="0"/>
        <c:majorTickMark val="none"/>
        <c:minorTickMark val="none"/>
        <c:tickLblPos val="nextTo"/>
        <c:spPr>
          <a:ln w="9360">
            <a:noFill/>
            <a:prstDash val="solid"/>
          </a:ln>
        </c:spPr>
        <c:txPr>
          <a:bodyPr/>
          <a:lstStyle/>
          <a:p>
            <a:pPr>
              <a:defRPr sz="900" b="0" strike="noStrike" spc="-1">
                <a:solidFill>
                  <a:srgbClr val="595959"/>
                </a:solidFill>
                <a:latin typeface="Calibri"/>
              </a:defRPr>
            </a:pPr>
            <a:endParaRPr lang="en-US"/>
          </a:p>
        </c:txPr>
        <c:crossAx val="20202879"/>
        <c:crosses val="autoZero"/>
        <c:crossBetween val="between"/>
      </c:valAx>
    </c:plotArea>
    <c:legend>
      <c:legendPos val="b"/>
      <c:overlay val="0"/>
      <c:spPr>
        <a:noFill/>
        <a:ln w="0">
          <a:noFill/>
          <a:prstDash val="solid"/>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16</xdr:col>
      <xdr:colOff>384108</xdr:colOff>
      <xdr:row>92</xdr:row>
      <xdr:rowOff>140097</xdr:rowOff>
    </xdr:from>
    <xdr:to>
      <xdr:col>16</xdr:col>
      <xdr:colOff>429827</xdr:colOff>
      <xdr:row>93</xdr:row>
      <xdr:rowOff>1758</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29</xdr:col>
      <xdr:colOff>530325</xdr:colOff>
      <xdr:row>62</xdr:row>
      <xdr:rowOff>83553</xdr:rowOff>
    </xdr:from>
    <xdr:to>
      <xdr:col>30</xdr:col>
      <xdr:colOff>568158</xdr:colOff>
      <xdr:row>63</xdr:row>
      <xdr:rowOff>75197</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52009</xdr:colOff>
      <xdr:row>8</xdr:row>
      <xdr:rowOff>119056</xdr:rowOff>
    </xdr:from>
    <xdr:to>
      <xdr:col>8</xdr:col>
      <xdr:colOff>75595</xdr:colOff>
      <xdr:row>22</xdr:row>
      <xdr:rowOff>45165</xdr:rowOff>
    </xdr:to>
    <xdr:graphicFrame macro="">
      <xdr:nvGraphicFramePr>
        <xdr:cNvPr id="5" name="Chart 4">
          <a:extLst>
            <a:ext uri="{FF2B5EF4-FFF2-40B4-BE49-F238E27FC236}">
              <a16:creationId xmlns:a16="http://schemas.microsoft.com/office/drawing/2014/main" id="{7153420C-5692-40B0-9C50-D72B3748E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544286</xdr:colOff>
      <xdr:row>8</xdr:row>
      <xdr:rowOff>174558</xdr:rowOff>
    </xdr:from>
    <xdr:to>
      <xdr:col>16</xdr:col>
      <xdr:colOff>733138</xdr:colOff>
      <xdr:row>22</xdr:row>
      <xdr:rowOff>60477</xdr:rowOff>
    </xdr:to>
    <xdr:graphicFrame macro="">
      <xdr:nvGraphicFramePr>
        <xdr:cNvPr id="6" name="Chart 5">
          <a:extLst>
            <a:ext uri="{FF2B5EF4-FFF2-40B4-BE49-F238E27FC236}">
              <a16:creationId xmlns:a16="http://schemas.microsoft.com/office/drawing/2014/main" id="{44C4A785-5A45-4D6E-B6A7-71DD62DF3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638388</xdr:colOff>
      <xdr:row>23</xdr:row>
      <xdr:rowOff>140754</xdr:rowOff>
    </xdr:from>
    <xdr:to>
      <xdr:col>8</xdr:col>
      <xdr:colOff>162135</xdr:colOff>
      <xdr:row>29</xdr:row>
      <xdr:rowOff>108120</xdr:rowOff>
    </xdr:to>
    <mc:AlternateContent xmlns:mc="http://schemas.openxmlformats.org/markup-compatibility/2006" xmlns:a14="http://schemas.microsoft.com/office/drawing/2010/main">
      <mc:Choice Requires="a14">
        <xdr:graphicFrame macro="">
          <xdr:nvGraphicFramePr>
            <xdr:cNvPr id="7" name="Customer_Segment">
              <a:extLst>
                <a:ext uri="{FF2B5EF4-FFF2-40B4-BE49-F238E27FC236}">
                  <a16:creationId xmlns:a16="http://schemas.microsoft.com/office/drawing/2014/main" id="{62AE3EA5-8C97-6179-FDAF-F3569759A4B9}"/>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3143110" y="5032606"/>
              <a:ext cx="2581155" cy="1343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24167</xdr:colOff>
      <xdr:row>23</xdr:row>
      <xdr:rowOff>128801</xdr:rowOff>
    </xdr:from>
    <xdr:to>
      <xdr:col>4</xdr:col>
      <xdr:colOff>407536</xdr:colOff>
      <xdr:row>29</xdr:row>
      <xdr:rowOff>151642</xdr:rowOff>
    </xdr:to>
    <mc:AlternateContent xmlns:mc="http://schemas.openxmlformats.org/markup-compatibility/2006" xmlns:a14="http://schemas.microsoft.com/office/drawing/2010/main">
      <mc:Choice Requires="a14">
        <xdr:graphicFrame macro="">
          <xdr:nvGraphicFramePr>
            <xdr:cNvPr id="8" name="Product_Name">
              <a:extLst>
                <a:ext uri="{FF2B5EF4-FFF2-40B4-BE49-F238E27FC236}">
                  <a16:creationId xmlns:a16="http://schemas.microsoft.com/office/drawing/2014/main" id="{88C15209-8A6B-F424-E149-4F4DFA888B97}"/>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35834" y="5020653"/>
              <a:ext cx="2676424" cy="1398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25920</xdr:colOff>
      <xdr:row>0</xdr:row>
      <xdr:rowOff>0</xdr:rowOff>
    </xdr:from>
    <xdr:to>
      <xdr:col>7</xdr:col>
      <xdr:colOff>246600</xdr:colOff>
      <xdr:row>15</xdr:row>
      <xdr:rowOff>21240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421920</xdr:colOff>
      <xdr:row>16</xdr:row>
      <xdr:rowOff>163440</xdr:rowOff>
    </xdr:from>
    <xdr:to>
      <xdr:col>12</xdr:col>
      <xdr:colOff>570600</xdr:colOff>
      <xdr:row>34</xdr:row>
      <xdr:rowOff>16920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4.752425115737" createdVersion="8" refreshedVersion="8" minRefreshableVersion="3" recordCount="250" xr:uid="{49FBA0B1-B266-443D-A70C-CF9F33152667}">
  <cacheSource type="worksheet">
    <worksheetSource name="tblClean"/>
  </cacheSource>
  <cacheFields count="14">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0">
      <sharedItems containsSemiMixedTypes="0" containsString="0" containsNumber="1" containsInteger="1" minValue="1" maxValue="5"/>
    </cacheField>
    <cacheField name="Unit_Price" numFmtId="165">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s>
  <extLst>
    <ext xmlns:x14="http://schemas.microsoft.com/office/spreadsheetml/2009/9/main" uri="{725AE2AE-9491-48be-B2B4-4EB974FC3084}">
      <x14:pivotCacheDefinition pivotCacheId="259902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x v="0"/>
    <s v="Electronics"/>
    <n v="3"/>
    <n v="249.99"/>
    <s v="Cash"/>
    <s v="Central"/>
    <x v="0"/>
    <d v="2021-08-17T00:00:00"/>
    <n v="749.97"/>
  </r>
  <r>
    <s v="TRX0023"/>
    <d v="2024-04-14T00:00:00"/>
    <s v="CUST013"/>
    <s v="Joseph Jackson"/>
    <s v="P009"/>
    <x v="0"/>
    <s v="Electronics"/>
    <n v="3"/>
    <n v="249.99"/>
    <s v="Credit Card"/>
    <s v="Central"/>
    <x v="1"/>
    <d v="2022-01-14T00:00:00"/>
    <n v="749.97"/>
  </r>
  <r>
    <s v="TRX0139"/>
    <d v="2024-04-17T00:00:00"/>
    <s v="CUST021"/>
    <s v="Kevin Scott"/>
    <s v="P005"/>
    <x v="1"/>
    <s v="Appliances"/>
    <n v="3"/>
    <n v="59.99"/>
    <s v="Paypal"/>
    <s v="South"/>
    <x v="2"/>
    <d v="2023-12-02T00:00:00"/>
    <n v="179.97"/>
  </r>
  <r>
    <s v="TRX0043"/>
    <d v="2024-04-18T00:00:00"/>
    <s v="CUST046"/>
    <s v="Kathleen Bennett"/>
    <s v="P005"/>
    <x v="1"/>
    <s v="Appliances"/>
    <n v="3"/>
    <n v="59.99"/>
    <s v="Cash"/>
    <s v="North"/>
    <x v="1"/>
    <d v="2023-07-07T00:00:00"/>
    <n v="179.97"/>
  </r>
  <r>
    <s v="TRX0212"/>
    <d v="2024-04-18T00:00:00"/>
    <s v="CUST003"/>
    <s v="Michael Brown"/>
    <s v="P008"/>
    <x v="2"/>
    <s v="Furniture"/>
    <n v="5"/>
    <n v="149.99"/>
    <s v="Credit Card"/>
    <s v="North"/>
    <x v="1"/>
    <d v="2024-01-04T00:00:00"/>
    <n v="749.95"/>
  </r>
  <r>
    <s v="TRX0092"/>
    <d v="2024-04-21T00:00:00"/>
    <s v="CUST024"/>
    <s v="Dorothy Nelson"/>
    <s v="P005"/>
    <x v="1"/>
    <s v="Appliances"/>
    <n v="2"/>
    <n v="59.99"/>
    <s v="Cash"/>
    <s v="West"/>
    <x v="2"/>
    <d v="2022-07-04T00:00:00"/>
    <n v="119.98"/>
  </r>
  <r>
    <s v="TRX0193"/>
    <d v="2024-04-21T00:00:00"/>
    <s v="CUST024"/>
    <s v="Dorothy Nelson"/>
    <s v="P003"/>
    <x v="3"/>
    <s v="Electronics"/>
    <n v="5"/>
    <n v="149.99"/>
    <s v="Credit Card"/>
    <s v="Central"/>
    <x v="2"/>
    <d v="2021-08-10T00:00:00"/>
    <n v="749.95"/>
  </r>
  <r>
    <s v="TRX0240"/>
    <d v="2024-04-21T00:00:00"/>
    <s v="CUST017"/>
    <s v="Charles Allen"/>
    <s v="P005"/>
    <x v="1"/>
    <s v="Appliances"/>
    <n v="3"/>
    <n v="59.99"/>
    <s v="Debit Card"/>
    <s v="South"/>
    <x v="0"/>
    <d v="2023-03-22T00:00:00"/>
    <n v="179.97"/>
  </r>
  <r>
    <s v="TRX0135"/>
    <d v="2024-04-23T00:00:00"/>
    <s v="CUST009"/>
    <s v="Robert Thomas"/>
    <s v="P001"/>
    <x v="4"/>
    <s v="Electronics"/>
    <n v="3"/>
    <n v="899.99"/>
    <s v="Paypal"/>
    <s v="East"/>
    <x v="2"/>
    <d v="2024-01-08T00:00:00"/>
    <n v="2699.97"/>
  </r>
  <r>
    <s v="TRX0185"/>
    <d v="2024-04-26T00:00:00"/>
    <s v="CUST026"/>
    <s v="Karen Hill"/>
    <s v="P005"/>
    <x v="1"/>
    <s v="Appliances"/>
    <n v="3"/>
    <n v="59.99"/>
    <s v="Cash"/>
    <s v="West"/>
    <x v="1"/>
    <d v="2023-10-08T00:00:00"/>
    <n v="179.97"/>
  </r>
  <r>
    <s v="TRX0138"/>
    <d v="2024-04-26T00:00:00"/>
    <s v="CUST022"/>
    <s v="Susan Green"/>
    <s v="P008"/>
    <x v="2"/>
    <s v="Furniture"/>
    <n v="1"/>
    <n v="149.99"/>
    <s v="Credit Card"/>
    <s v="West"/>
    <x v="2"/>
    <d v="2023-06-26T00:00:00"/>
    <n v="149.99"/>
  </r>
  <r>
    <s v="TRX0209"/>
    <d v="2024-04-26T00:00:00"/>
    <s v="CUST046"/>
    <s v="Kathleen Bennett"/>
    <s v="P008"/>
    <x v="2"/>
    <s v="Furniture"/>
    <n v="5"/>
    <n v="149.99"/>
    <s v="Debit Card"/>
    <s v="North"/>
    <x v="0"/>
    <d v="2022-09-26T00:00:00"/>
    <n v="749.95"/>
  </r>
  <r>
    <s v="TRX0246"/>
    <d v="2024-04-26T00:00:00"/>
    <s v="CUST041"/>
    <s v="Peter Richardson"/>
    <s v="P008"/>
    <x v="2"/>
    <s v="Furniture"/>
    <n v="3"/>
    <n v="149.99"/>
    <s v="Cash"/>
    <s v="North"/>
    <x v="1"/>
    <d v="2022-09-02T00:00:00"/>
    <n v="449.97"/>
  </r>
  <r>
    <s v="TRX0067"/>
    <d v="2024-04-27T00:00:00"/>
    <s v="CUST043"/>
    <s v="Dennis Gray"/>
    <s v="P005"/>
    <x v="1"/>
    <s v="Appliances"/>
    <n v="3"/>
    <n v="59.99"/>
    <s v="Credit Card"/>
    <s v="North"/>
    <x v="2"/>
    <d v="2024-02-29T00:00:00"/>
    <n v="179.97"/>
  </r>
  <r>
    <s v="TRX0191"/>
    <d v="2024-04-27T00:00:00"/>
    <s v="CUST038"/>
    <s v="Michelle Rogers"/>
    <s v="P002"/>
    <x v="5"/>
    <s v="Electronics"/>
    <n v="3"/>
    <n v="699.99"/>
    <s v="Credit Card"/>
    <s v="West"/>
    <x v="0"/>
    <d v="2022-01-16T00:00:00"/>
    <n v="2099.9699999999998"/>
  </r>
  <r>
    <s v="TRX0230"/>
    <d v="2024-04-27T00:00:00"/>
    <s v="CUST027"/>
    <s v="George Adams"/>
    <s v="P001"/>
    <x v="4"/>
    <s v="Electronics"/>
    <n v="1"/>
    <n v="899.99"/>
    <s v="Debit Card"/>
    <s v="North"/>
    <x v="2"/>
    <d v="2022-12-25T00:00:00"/>
    <n v="899.99"/>
  </r>
  <r>
    <s v="TRX0049"/>
    <d v="2024-04-28T00:00:00"/>
    <s v="CUST025"/>
    <s v="Mark Carter"/>
    <s v="P008"/>
    <x v="2"/>
    <s v="Furniture"/>
    <n v="4"/>
    <n v="149.99"/>
    <s v="Debit Card"/>
    <s v="North"/>
    <x v="1"/>
    <d v="2024-03-23T00:00:00"/>
    <n v="599.96"/>
  </r>
  <r>
    <s v="TRX0134"/>
    <d v="2024-04-28T00:00:00"/>
    <s v="CUST010"/>
    <s v="Maria Garcia"/>
    <s v="P002"/>
    <x v="5"/>
    <s v="Electronics"/>
    <n v="2"/>
    <n v="699.99"/>
    <s v="Cash"/>
    <s v="North"/>
    <x v="0"/>
    <d v="2022-08-08T00:00:00"/>
    <n v="1399.98"/>
  </r>
  <r>
    <s v="TRX0122"/>
    <d v="2024-04-28T00:00:00"/>
    <s v="CUST025"/>
    <s v="Mark Carter"/>
    <s v="P001"/>
    <x v="4"/>
    <s v="Electronics"/>
    <n v="4"/>
    <n v="899.99"/>
    <s v="Credit Card"/>
    <s v="West"/>
    <x v="2"/>
    <d v="2024-02-05T00:00:00"/>
    <n v="3599.96"/>
  </r>
  <r>
    <s v="TRX0222"/>
    <d v="2024-04-28T00:00:00"/>
    <s v="CUST048"/>
    <s v="Virginia Sanders"/>
    <s v="P009"/>
    <x v="0"/>
    <s v="Electronics"/>
    <n v="3"/>
    <n v="249.99"/>
    <s v="Credit Card"/>
    <s v="North"/>
    <x v="1"/>
    <d v="2023-10-25T00:00:00"/>
    <n v="749.97"/>
  </r>
  <r>
    <s v="TRX0231"/>
    <d v="2024-04-30T00:00:00"/>
    <s v="CUST018"/>
    <s v="Barbara Young"/>
    <s v="P002"/>
    <x v="5"/>
    <s v="Electronics"/>
    <n v="5"/>
    <n v="699.99"/>
    <s v="Cash"/>
    <s v="West"/>
    <x v="0"/>
    <d v="2023-08-29T00:00:00"/>
    <n v="3499.95"/>
  </r>
  <r>
    <s v="TRX0239"/>
    <d v="2024-05-01T00:00:00"/>
    <s v="CUST012"/>
    <s v="Patricia Moore"/>
    <s v="P002"/>
    <x v="5"/>
    <s v="Electronics"/>
    <n v="4"/>
    <n v="699.99"/>
    <s v="Cash"/>
    <s v="East"/>
    <x v="2"/>
    <d v="2021-08-01T00:00:00"/>
    <n v="2799.96"/>
  </r>
  <r>
    <s v="TRX0204"/>
    <d v="2024-05-03T00:00:00"/>
    <s v="CUST044"/>
    <s v="Cynthia Price"/>
    <s v="P009"/>
    <x v="0"/>
    <s v="Electronics"/>
    <n v="4"/>
    <n v="249.99"/>
    <s v="Paypal"/>
    <s v="North"/>
    <x v="2"/>
    <d v="2021-09-29T00:00:00"/>
    <n v="999.96"/>
  </r>
  <r>
    <s v="TRX0242"/>
    <d v="2024-05-04T00:00:00"/>
    <s v="CUST025"/>
    <s v="Mark Carter"/>
    <s v="P007"/>
    <x v="6"/>
    <s v="Furniture"/>
    <n v="4"/>
    <n v="299.99"/>
    <s v="Cash"/>
    <s v="West"/>
    <x v="1"/>
    <d v="2022-06-04T00:00:00"/>
    <n v="1199.96"/>
  </r>
  <r>
    <s v="TRX0071"/>
    <d v="2024-05-10T00:00:00"/>
    <s v="CUST036"/>
    <s v="Nancy Collins"/>
    <s v="P009"/>
    <x v="0"/>
    <s v="Electronics"/>
    <n v="5"/>
    <n v="249.99"/>
    <s v="Credit Card"/>
    <s v="West"/>
    <x v="2"/>
    <d v="2021-11-25T00:00:00"/>
    <n v="1249.95"/>
  </r>
  <r>
    <s v="TRX0040"/>
    <d v="2024-05-12T00:00:00"/>
    <s v="CUST022"/>
    <s v="Susan Green"/>
    <s v="P007"/>
    <x v="6"/>
    <s v="Furniture"/>
    <n v="5"/>
    <n v="299.99"/>
    <s v="Paypal"/>
    <s v="East"/>
    <x v="0"/>
    <d v="2023-08-30T00:00:00"/>
    <n v="1499.95"/>
  </r>
  <r>
    <s v="TRX0235"/>
    <d v="2024-05-12T00:00:00"/>
    <s v="CUST014"/>
    <s v="Linda Martin"/>
    <s v="P004"/>
    <x v="7"/>
    <s v="Appliances"/>
    <n v="3"/>
    <n v="79.989999999999995"/>
    <s v="Paypal"/>
    <s v="East"/>
    <x v="1"/>
    <d v="2023-03-27T00:00:00"/>
    <n v="239.97"/>
  </r>
  <r>
    <s v="TRX0004"/>
    <d v="2024-05-12T00:00:00"/>
    <s v="CUST012"/>
    <s v="Patricia Moore"/>
    <s v="P010"/>
    <x v="8"/>
    <s v="Electronics"/>
    <n v="5"/>
    <n v="89.99"/>
    <s v="Cash"/>
    <s v="North"/>
    <x v="1"/>
    <d v="2022-12-24T00:00:00"/>
    <n v="449.95"/>
  </r>
  <r>
    <s v="TRX0063"/>
    <d v="2024-05-13T00:00:00"/>
    <s v="CUST030"/>
    <s v="Helen Roberts"/>
    <s v="P005"/>
    <x v="1"/>
    <s v="Appliances"/>
    <n v="2"/>
    <n v="59.99"/>
    <s v="Debit Card"/>
    <s v="Central"/>
    <x v="2"/>
    <d v="2023-10-15T00:00:00"/>
    <n v="119.98"/>
  </r>
  <r>
    <s v="TRX0241"/>
    <d v="2024-05-15T00:00:00"/>
    <s v="CUST029"/>
    <s v="Edward Mitchell"/>
    <s v="P005"/>
    <x v="1"/>
    <s v="Appliances"/>
    <n v="4"/>
    <n v="59.99"/>
    <s v="Debit Card"/>
    <s v="East"/>
    <x v="2"/>
    <d v="2022-11-02T00:00:00"/>
    <n v="239.96"/>
  </r>
  <r>
    <s v="TRX0029"/>
    <d v="2024-05-15T00:00:00"/>
    <s v="CUST017"/>
    <s v="Charles Allen"/>
    <s v="P006"/>
    <x v="9"/>
    <s v="Furniture"/>
    <n v="5"/>
    <n v="199.99"/>
    <s v="Cash"/>
    <s v="South"/>
    <x v="2"/>
    <d v="2021-08-04T00:00:00"/>
    <n v="999.95"/>
  </r>
  <r>
    <s v="TRX0194"/>
    <d v="2024-05-16T00:00:00"/>
    <s v="CUST006"/>
    <s v="Lisa Anderson"/>
    <s v="P008"/>
    <x v="2"/>
    <s v="Furniture"/>
    <n v="2"/>
    <n v="149.99"/>
    <s v="Credit Card"/>
    <s v="West"/>
    <x v="0"/>
    <d v="2022-09-19T00:00:00"/>
    <n v="299.98"/>
  </r>
  <r>
    <s v="TRX0130"/>
    <d v="2024-05-18T00:00:00"/>
    <s v="CUST002"/>
    <s v="Emma Wilson"/>
    <s v="P008"/>
    <x v="2"/>
    <s v="Furniture"/>
    <n v="3"/>
    <n v="149.99"/>
    <s v="Credit Card"/>
    <s v="West"/>
    <x v="1"/>
    <d v="2023-05-22T00:00:00"/>
    <n v="449.97"/>
  </r>
  <r>
    <s v="TRX0041"/>
    <d v="2024-05-20T00:00:00"/>
    <s v="CUST021"/>
    <s v="Kevin Scott"/>
    <s v="P001"/>
    <x v="4"/>
    <s v="Electronics"/>
    <n v="1"/>
    <n v="899.99"/>
    <s v="Credit Card"/>
    <s v="West"/>
    <x v="1"/>
    <d v="2022-01-17T00:00:00"/>
    <n v="899.99"/>
  </r>
  <r>
    <s v="TRX0232"/>
    <d v="2024-05-22T00:00:00"/>
    <s v="CUST012"/>
    <s v="Patricia Moore"/>
    <s v="P007"/>
    <x v="6"/>
    <s v="Furniture"/>
    <n v="3"/>
    <n v="299.99"/>
    <s v="Credit Card"/>
    <s v="East"/>
    <x v="0"/>
    <d v="2022-09-20T00:00:00"/>
    <n v="899.97"/>
  </r>
  <r>
    <s v="TRX0021"/>
    <d v="2024-05-23T00:00:00"/>
    <s v="CUST006"/>
    <s v="Lisa Anderson"/>
    <s v="P004"/>
    <x v="7"/>
    <s v="Appliances"/>
    <n v="3"/>
    <n v="79.989999999999995"/>
    <s v="Cash"/>
    <s v="South"/>
    <x v="0"/>
    <d v="2023-04-30T00:00:00"/>
    <n v="239.97"/>
  </r>
  <r>
    <s v="TRX0245"/>
    <d v="2024-05-26T00:00:00"/>
    <s v="CUST031"/>
    <s v="Steven Turner"/>
    <s v="P006"/>
    <x v="9"/>
    <s v="Furniture"/>
    <n v="3"/>
    <n v="199.99"/>
    <s v="Credit Card"/>
    <s v="North"/>
    <x v="1"/>
    <d v="2024-01-01T00:00:00"/>
    <n v="599.97"/>
  </r>
  <r>
    <s v="TRX0015"/>
    <d v="2024-05-28T00:00:00"/>
    <s v="CUST008"/>
    <s v="Jennifer Taylor"/>
    <s v="P002"/>
    <x v="5"/>
    <s v="Electronics"/>
    <n v="5"/>
    <n v="699.99"/>
    <s v="Paypal"/>
    <s v="West"/>
    <x v="2"/>
    <d v="2021-07-30T00:00:00"/>
    <n v="3499.95"/>
  </r>
  <r>
    <s v="TRX0202"/>
    <d v="2024-05-29T00:00:00"/>
    <s v="CUST035"/>
    <s v="Harry Morgan"/>
    <s v="P010"/>
    <x v="8"/>
    <s v="Electronics"/>
    <n v="3"/>
    <n v="89.99"/>
    <s v="Paypal"/>
    <s v="Central"/>
    <x v="1"/>
    <d v="2023-07-13T00:00:00"/>
    <n v="269.97000000000003"/>
  </r>
  <r>
    <s v="TRX0042"/>
    <d v="2024-05-31T00:00:00"/>
    <s v="CUST019"/>
    <s v="Daniel King"/>
    <s v="P004"/>
    <x v="7"/>
    <s v="Appliances"/>
    <n v="1"/>
    <n v="79.989999999999995"/>
    <s v="Cash"/>
    <s v="North"/>
    <x v="2"/>
    <d v="2022-12-22T00:00:00"/>
    <n v="79.989999999999995"/>
  </r>
  <r>
    <s v="TRX0128"/>
    <d v="2024-06-01T00:00:00"/>
    <s v="CUST040"/>
    <s v="Sharon Butler"/>
    <s v="P005"/>
    <x v="1"/>
    <s v="Appliances"/>
    <n v="2"/>
    <n v="59.99"/>
    <s v="Cash"/>
    <s v="West"/>
    <x v="0"/>
    <d v="2024-04-08T00:00:00"/>
    <n v="119.98"/>
  </r>
  <r>
    <s v="TRX0117"/>
    <d v="2024-06-01T00:00:00"/>
    <s v="CUST017"/>
    <s v="Charles Allen"/>
    <s v="P010"/>
    <x v="8"/>
    <s v="Electronics"/>
    <n v="1"/>
    <n v="89.99"/>
    <s v="Cash"/>
    <s v="North"/>
    <x v="0"/>
    <d v="2023-08-03T00:00:00"/>
    <n v="89.99"/>
  </r>
  <r>
    <s v="TRX0208"/>
    <d v="2024-06-03T00:00:00"/>
    <s v="CUST004"/>
    <s v="Sarah Davis"/>
    <s v="P010"/>
    <x v="8"/>
    <s v="Electronics"/>
    <n v="5"/>
    <n v="89.99"/>
    <s v="Credit Card"/>
    <s v="East"/>
    <x v="2"/>
    <d v="2022-01-26T00:00:00"/>
    <n v="449.95"/>
  </r>
  <r>
    <s v="TRX0234"/>
    <d v="2024-06-06T00:00:00"/>
    <s v="CUST013"/>
    <s v="Joseph Jackson"/>
    <s v="P009"/>
    <x v="0"/>
    <s v="Electronics"/>
    <n v="5"/>
    <n v="249.99"/>
    <s v="Credit Card"/>
    <s v="East"/>
    <x v="2"/>
    <d v="2022-05-26T00:00:00"/>
    <n v="1249.95"/>
  </r>
  <r>
    <s v="TRX0121"/>
    <d v="2024-06-06T00:00:00"/>
    <s v="CUST028"/>
    <s v="Betty Campbell"/>
    <s v="P010"/>
    <x v="8"/>
    <s v="Electronics"/>
    <n v="1"/>
    <n v="89.99"/>
    <s v="Credit Card"/>
    <s v="South"/>
    <x v="2"/>
    <d v="2022-01-21T00:00:00"/>
    <n v="89.99"/>
  </r>
  <r>
    <s v="TRX0220"/>
    <d v="2024-06-07T00:00:00"/>
    <s v="CUST003"/>
    <s v="Michael Brown"/>
    <s v="P008"/>
    <x v="2"/>
    <s v="Furniture"/>
    <n v="2"/>
    <n v="149.99"/>
    <s v="Cash"/>
    <s v="East"/>
    <x v="1"/>
    <d v="2022-03-25T00:00:00"/>
    <n v="299.98"/>
  </r>
  <r>
    <s v="TRX0093"/>
    <d v="2024-06-09T00:00:00"/>
    <s v="CUST050"/>
    <s v="Julie Foster"/>
    <s v="P005"/>
    <x v="1"/>
    <s v="Appliances"/>
    <n v="4"/>
    <n v="59.99"/>
    <s v="Cash"/>
    <s v="East"/>
    <x v="2"/>
    <d v="2021-08-27T00:00:00"/>
    <n v="239.96"/>
  </r>
  <r>
    <s v="TRX0088"/>
    <d v="2024-06-13T00:00:00"/>
    <s v="CUST006"/>
    <s v="Lisa Anderson"/>
    <s v="P010"/>
    <x v="8"/>
    <s v="Electronics"/>
    <n v="5"/>
    <n v="89.99"/>
    <s v="Cash"/>
    <s v="Central"/>
    <x v="1"/>
    <d v="2022-01-18T00:00:00"/>
    <n v="449.95"/>
  </r>
  <r>
    <s v="TRX0115"/>
    <d v="2024-06-16T00:00:00"/>
    <s v="CUST012"/>
    <s v="Patricia Moore"/>
    <s v="P010"/>
    <x v="8"/>
    <s v="Electronics"/>
    <n v="2"/>
    <n v="89.99"/>
    <s v="Credit Card"/>
    <s v="South"/>
    <x v="1"/>
    <d v="2021-10-02T00:00:00"/>
    <n v="179.98"/>
  </r>
  <r>
    <s v="TRX0154"/>
    <d v="2024-06-16T00:00:00"/>
    <s v="CUST023"/>
    <s v="Paul Baker"/>
    <s v="P001"/>
    <x v="4"/>
    <s v="Electronics"/>
    <n v="5"/>
    <n v="899.99"/>
    <s v="Credit Card"/>
    <s v="South"/>
    <x v="2"/>
    <d v="2023-02-17T00:00:00"/>
    <n v="4499.95"/>
  </r>
  <r>
    <s v="TRX0044"/>
    <d v="2024-06-16T00:00:00"/>
    <s v="CUST029"/>
    <s v="Edward Mitchell"/>
    <s v="P001"/>
    <x v="4"/>
    <s v="Electronics"/>
    <n v="5"/>
    <n v="899.99"/>
    <s v="Paypal"/>
    <s v="East"/>
    <x v="1"/>
    <d v="2023-12-18T00:00:00"/>
    <n v="4499.95"/>
  </r>
  <r>
    <s v="TRX0061"/>
    <d v="2024-06-17T00:00:00"/>
    <s v="CUST028"/>
    <s v="Betty Campbell"/>
    <s v="P005"/>
    <x v="1"/>
    <s v="Appliances"/>
    <n v="1"/>
    <n v="59.99"/>
    <s v="Debit Card"/>
    <s v="West"/>
    <x v="1"/>
    <d v="2023-09-21T00:00:00"/>
    <n v="59.99"/>
  </r>
  <r>
    <s v="TRX0150"/>
    <d v="2024-06-17T00:00:00"/>
    <s v="CUST008"/>
    <s v="Jennifer Taylor"/>
    <s v="P007"/>
    <x v="6"/>
    <s v="Furniture"/>
    <n v="2"/>
    <n v="299.99"/>
    <s v="Debit Card"/>
    <s v="East"/>
    <x v="2"/>
    <d v="2023-11-23T00:00:00"/>
    <n v="599.98"/>
  </r>
  <r>
    <s v="TRX0025"/>
    <d v="2024-06-25T00:00:00"/>
    <s v="CUST049"/>
    <s v="Raymond Ross"/>
    <s v="P010"/>
    <x v="8"/>
    <s v="Electronics"/>
    <n v="4"/>
    <n v="89.99"/>
    <s v="Debit Card"/>
    <s v="South"/>
    <x v="0"/>
    <d v="2023-12-21T00:00:00"/>
    <n v="359.96"/>
  </r>
  <r>
    <s v="TRX0078"/>
    <d v="2024-06-26T00:00:00"/>
    <s v="CUST021"/>
    <s v="Kevin Scott"/>
    <s v="P004"/>
    <x v="7"/>
    <s v="Appliances"/>
    <n v="1"/>
    <n v="79.989999999999995"/>
    <s v="Paypal"/>
    <s v="Central"/>
    <x v="1"/>
    <d v="2024-03-01T00:00:00"/>
    <n v="79.989999999999995"/>
  </r>
  <r>
    <s v="TRX0007"/>
    <d v="2024-06-26T00:00:00"/>
    <s v="CUST009"/>
    <s v="Robert Thomas"/>
    <s v="P010"/>
    <x v="8"/>
    <s v="Electronics"/>
    <n v="2"/>
    <n v="89.99"/>
    <s v="Cash"/>
    <s v="West"/>
    <x v="0"/>
    <d v="2021-08-30T00:00:00"/>
    <n v="179.98"/>
  </r>
  <r>
    <s v="TRX0184"/>
    <d v="2024-06-28T00:00:00"/>
    <s v="CUST046"/>
    <s v="Kathleen Bennett"/>
    <s v="P002"/>
    <x v="5"/>
    <s v="Electronics"/>
    <n v="3"/>
    <n v="699.99"/>
    <s v="Credit Card"/>
    <s v="East"/>
    <x v="1"/>
    <d v="2023-06-25T00:00:00"/>
    <n v="2099.9699999999998"/>
  </r>
  <r>
    <s v="TRX0104"/>
    <d v="2024-06-28T00:00:00"/>
    <s v="CUST012"/>
    <s v="Patricia Moore"/>
    <s v="P001"/>
    <x v="4"/>
    <s v="Electronics"/>
    <n v="4"/>
    <n v="899.99"/>
    <s v="Credit Card"/>
    <s v="East"/>
    <x v="1"/>
    <d v="2023-03-08T00:00:00"/>
    <n v="3599.96"/>
  </r>
  <r>
    <s v="TRX0127"/>
    <d v="2024-06-29T00:00:00"/>
    <s v="CUST030"/>
    <s v="Helen Roberts"/>
    <s v="P008"/>
    <x v="2"/>
    <s v="Furniture"/>
    <n v="1"/>
    <n v="149.99"/>
    <s v="Paypal"/>
    <s v="East"/>
    <x v="0"/>
    <d v="2022-10-17T00:00:00"/>
    <n v="149.99"/>
  </r>
  <r>
    <s v="TRX0096"/>
    <d v="2024-07-01T00:00:00"/>
    <s v="CUST002"/>
    <s v="Emma Wilson"/>
    <s v="P010"/>
    <x v="8"/>
    <s v="Electronics"/>
    <n v="2"/>
    <n v="89.99"/>
    <s v="Paypal"/>
    <s v="Central"/>
    <x v="1"/>
    <d v="2023-12-15T00:00:00"/>
    <n v="179.98"/>
  </r>
  <r>
    <s v="TRX0192"/>
    <d v="2024-07-02T00:00:00"/>
    <s v="CUST017"/>
    <s v="Charles Allen"/>
    <s v="P010"/>
    <x v="8"/>
    <s v="Electronics"/>
    <n v="1"/>
    <n v="89.99"/>
    <s v="Paypal"/>
    <s v="West"/>
    <x v="2"/>
    <d v="2022-08-29T00:00:00"/>
    <n v="89.99"/>
  </r>
  <r>
    <s v="TRX0052"/>
    <d v="2024-07-03T00:00:00"/>
    <s v="CUST022"/>
    <s v="Susan Green"/>
    <s v="P010"/>
    <x v="8"/>
    <s v="Electronics"/>
    <n v="1"/>
    <n v="89.99"/>
    <s v="Cash"/>
    <s v="South"/>
    <x v="2"/>
    <d v="2022-02-19T00:00:00"/>
    <n v="89.99"/>
  </r>
  <r>
    <s v="TRX0070"/>
    <d v="2024-07-03T00:00:00"/>
    <s v="CUST007"/>
    <s v="David Martinez"/>
    <s v="P004"/>
    <x v="7"/>
    <s v="Appliances"/>
    <n v="5"/>
    <n v="79.989999999999995"/>
    <s v="Debit Card"/>
    <s v="Central"/>
    <x v="0"/>
    <d v="2023-02-24T00:00:00"/>
    <n v="399.95"/>
  </r>
  <r>
    <s v="TRX0086"/>
    <d v="2024-07-08T00:00:00"/>
    <s v="CUST020"/>
    <s v="Margaret Wright"/>
    <s v="P008"/>
    <x v="2"/>
    <s v="Furniture"/>
    <n v="1"/>
    <n v="149.99"/>
    <s v="Paypal"/>
    <s v="North"/>
    <x v="0"/>
    <d v="2021-08-13T00:00:00"/>
    <n v="149.99"/>
  </r>
  <r>
    <s v="TRX0113"/>
    <d v="2024-07-08T00:00:00"/>
    <s v="CUST003"/>
    <s v="Michael Brown"/>
    <s v="P002"/>
    <x v="5"/>
    <s v="Electronics"/>
    <n v="2"/>
    <n v="699.99"/>
    <s v="Paypal"/>
    <s v="East"/>
    <x v="1"/>
    <d v="2024-04-07T00:00:00"/>
    <n v="1399.98"/>
  </r>
  <r>
    <s v="TRX0114"/>
    <d v="2024-07-08T00:00:00"/>
    <s v="CUST018"/>
    <s v="Barbara Young"/>
    <s v="P010"/>
    <x v="8"/>
    <s v="Electronics"/>
    <n v="5"/>
    <n v="89.99"/>
    <s v="Debit Card"/>
    <s v="North"/>
    <x v="1"/>
    <d v="2023-08-23T00:00:00"/>
    <n v="449.95"/>
  </r>
  <r>
    <s v="TRX0136"/>
    <d v="2024-07-09T00:00:00"/>
    <s v="CUST049"/>
    <s v="Raymond Ross"/>
    <s v="P005"/>
    <x v="1"/>
    <s v="Appliances"/>
    <n v="4"/>
    <n v="59.99"/>
    <s v="Cash"/>
    <s v="South"/>
    <x v="2"/>
    <d v="2021-11-09T00:00:00"/>
    <n v="239.96"/>
  </r>
  <r>
    <s v="TRX0018"/>
    <d v="2024-07-11T00:00:00"/>
    <s v="CUST013"/>
    <s v="Joseph Jackson"/>
    <s v="P003"/>
    <x v="3"/>
    <s v="Electronics"/>
    <n v="1"/>
    <n v="149.99"/>
    <s v="Cash"/>
    <s v="Central"/>
    <x v="2"/>
    <d v="2022-12-14T00:00:00"/>
    <n v="149.99"/>
  </r>
  <r>
    <s v="TRX0141"/>
    <d v="2024-07-11T00:00:00"/>
    <s v="CUST033"/>
    <s v="Frank Torres"/>
    <s v="P007"/>
    <x v="6"/>
    <s v="Furniture"/>
    <n v="1"/>
    <n v="299.99"/>
    <s v="Credit Card"/>
    <s v="North"/>
    <x v="1"/>
    <d v="2022-11-26T00:00:00"/>
    <n v="299.99"/>
  </r>
  <r>
    <s v="TRX0097"/>
    <d v="2024-07-14T00:00:00"/>
    <s v="CUST033"/>
    <s v="Frank Torres"/>
    <s v="P006"/>
    <x v="9"/>
    <s v="Furniture"/>
    <n v="2"/>
    <n v="199.99"/>
    <s v="Cash"/>
    <s v="North"/>
    <x v="0"/>
    <d v="2021-12-11T00:00:00"/>
    <n v="399.98"/>
  </r>
  <r>
    <s v="TRX0169"/>
    <d v="2024-07-17T00:00:00"/>
    <s v="CUST047"/>
    <s v="Gerald Murphy"/>
    <s v="P005"/>
    <x v="1"/>
    <s v="Appliances"/>
    <n v="3"/>
    <n v="59.99"/>
    <s v="Credit Card"/>
    <s v="West"/>
    <x v="0"/>
    <d v="2023-07-23T00:00:00"/>
    <n v="179.97"/>
  </r>
  <r>
    <s v="TRX0216"/>
    <d v="2024-07-17T00:00:00"/>
    <s v="CUST041"/>
    <s v="Peter Richardson"/>
    <s v="P008"/>
    <x v="2"/>
    <s v="Furniture"/>
    <n v="3"/>
    <n v="149.99"/>
    <s v="Cash"/>
    <s v="Central"/>
    <x v="1"/>
    <d v="2023-09-30T00:00:00"/>
    <n v="449.97"/>
  </r>
  <r>
    <s v="TRX0131"/>
    <d v="2024-07-18T00:00:00"/>
    <s v="CUST026"/>
    <s v="Karen Hill"/>
    <s v="P006"/>
    <x v="9"/>
    <s v="Furniture"/>
    <n v="3"/>
    <n v="199.99"/>
    <s v="Cash"/>
    <s v="North"/>
    <x v="1"/>
    <d v="2023-11-24T00:00:00"/>
    <n v="599.97"/>
  </r>
  <r>
    <s v="TRX0162"/>
    <d v="2024-07-23T00:00:00"/>
    <s v="CUST040"/>
    <s v="Sharon Butler"/>
    <s v="P001"/>
    <x v="4"/>
    <s v="Electronics"/>
    <n v="1"/>
    <n v="899.99"/>
    <s v="Cash"/>
    <s v="Central"/>
    <x v="2"/>
    <d v="2023-09-10T00:00:00"/>
    <n v="899.99"/>
  </r>
  <r>
    <s v="TRX0244"/>
    <d v="2024-07-24T00:00:00"/>
    <s v="CUST013"/>
    <s v="Joseph Jackson"/>
    <s v="P001"/>
    <x v="4"/>
    <s v="Electronics"/>
    <n v="5"/>
    <n v="899.99"/>
    <s v="Debit Card"/>
    <s v="South"/>
    <x v="2"/>
    <d v="2022-12-04T00:00:00"/>
    <n v="4499.95"/>
  </r>
  <r>
    <s v="TRX0006"/>
    <d v="2024-07-25T00:00:00"/>
    <s v="CUST007"/>
    <s v="David Martinez"/>
    <s v="P005"/>
    <x v="1"/>
    <s v="Appliances"/>
    <n v="2"/>
    <n v="59.99"/>
    <s v="Cash"/>
    <s v="North"/>
    <x v="2"/>
    <d v="2023-08-14T00:00:00"/>
    <n v="119.98"/>
  </r>
  <r>
    <s v="TRX0215"/>
    <d v="2024-07-25T00:00:00"/>
    <s v="CUST047"/>
    <s v="Gerald Murphy"/>
    <s v="P009"/>
    <x v="0"/>
    <s v="Electronics"/>
    <n v="4"/>
    <n v="249.99"/>
    <s v="Debit Card"/>
    <s v="Central"/>
    <x v="2"/>
    <d v="2023-07-20T00:00:00"/>
    <n v="999.96"/>
  </r>
  <r>
    <s v="TRX0080"/>
    <d v="2024-07-27T00:00:00"/>
    <s v="CUST018"/>
    <s v="Barbara Young"/>
    <s v="P009"/>
    <x v="0"/>
    <s v="Electronics"/>
    <n v="2"/>
    <n v="249.99"/>
    <s v="Cash"/>
    <s v="North"/>
    <x v="1"/>
    <d v="2023-08-26T00:00:00"/>
    <n v="499.98"/>
  </r>
  <r>
    <s v="TRX0228"/>
    <d v="2024-07-27T00:00:00"/>
    <s v="CUST019"/>
    <s v="Daniel King"/>
    <s v="P007"/>
    <x v="6"/>
    <s v="Furniture"/>
    <n v="1"/>
    <n v="299.99"/>
    <s v="Cash"/>
    <s v="South"/>
    <x v="0"/>
    <d v="2023-02-25T00:00:00"/>
    <n v="299.99"/>
  </r>
  <r>
    <s v="TRX0157"/>
    <d v="2024-07-28T00:00:00"/>
    <s v="CUST025"/>
    <s v="Mark Carter"/>
    <s v="P010"/>
    <x v="8"/>
    <s v="Electronics"/>
    <n v="2"/>
    <n v="89.99"/>
    <s v="Paypal"/>
    <s v="South"/>
    <x v="0"/>
    <d v="2023-02-19T00:00:00"/>
    <n v="179.98"/>
  </r>
  <r>
    <s v="TRX0002"/>
    <d v="2024-07-28T00:00:00"/>
    <s v="CUST019"/>
    <s v="Daniel King"/>
    <s v="P007"/>
    <x v="6"/>
    <s v="Furniture"/>
    <n v="3"/>
    <n v="299.99"/>
    <s v="Cash"/>
    <s v="Central"/>
    <x v="0"/>
    <d v="2022-06-20T00:00:00"/>
    <n v="899.97"/>
  </r>
  <r>
    <s v="TRX0217"/>
    <d v="2024-07-30T00:00:00"/>
    <s v="CUST025"/>
    <s v="Mark Carter"/>
    <s v="P002"/>
    <x v="5"/>
    <s v="Electronics"/>
    <n v="2"/>
    <n v="699.99"/>
    <s v="Credit Card"/>
    <s v="North"/>
    <x v="1"/>
    <d v="2023-03-14T00:00:00"/>
    <n v="1399.98"/>
  </r>
  <r>
    <s v="TRX0249"/>
    <d v="2024-07-31T00:00:00"/>
    <s v="CUST030"/>
    <s v="Helen Roberts"/>
    <s v="P001"/>
    <x v="4"/>
    <s v="Electronics"/>
    <n v="4"/>
    <n v="899.99"/>
    <s v="Debit Card"/>
    <s v="South"/>
    <x v="2"/>
    <d v="2021-11-23T00:00:00"/>
    <n v="3599.96"/>
  </r>
  <r>
    <s v="TRX0065"/>
    <d v="2024-08-05T00:00:00"/>
    <s v="CUST016"/>
    <s v="Elizabeth Hall"/>
    <s v="P008"/>
    <x v="2"/>
    <s v="Furniture"/>
    <n v="2"/>
    <n v="149.99"/>
    <s v="Credit Card"/>
    <s v="West"/>
    <x v="0"/>
    <d v="2021-12-12T00:00:00"/>
    <n v="299.98"/>
  </r>
  <r>
    <s v="TRX0176"/>
    <d v="2024-08-06T00:00:00"/>
    <s v="CUST044"/>
    <s v="Cynthia Price"/>
    <s v="P008"/>
    <x v="2"/>
    <s v="Furniture"/>
    <n v="2"/>
    <n v="149.99"/>
    <s v="Debit Card"/>
    <s v="East"/>
    <x v="2"/>
    <d v="2022-04-16T00:00:00"/>
    <n v="299.98"/>
  </r>
  <r>
    <s v="TRX0101"/>
    <d v="2024-08-09T00:00:00"/>
    <s v="CUST010"/>
    <s v="Maria Garcia"/>
    <s v="P010"/>
    <x v="8"/>
    <s v="Electronics"/>
    <n v="1"/>
    <n v="89.99"/>
    <s v="Credit Card"/>
    <s v="North"/>
    <x v="2"/>
    <d v="2024-04-11T00:00:00"/>
    <n v="89.99"/>
  </r>
  <r>
    <s v="TRX0205"/>
    <d v="2024-08-11T00:00:00"/>
    <s v="CUST025"/>
    <s v="Mark Carter"/>
    <s v="P007"/>
    <x v="6"/>
    <s v="Furniture"/>
    <n v="5"/>
    <n v="299.99"/>
    <s v="Credit Card"/>
    <s v="North"/>
    <x v="0"/>
    <d v="2023-02-08T00:00:00"/>
    <n v="1499.95"/>
  </r>
  <r>
    <s v="TRX0020"/>
    <d v="2024-08-13T00:00:00"/>
    <s v="CUST007"/>
    <s v="David Martinez"/>
    <s v="P003"/>
    <x v="3"/>
    <s v="Electronics"/>
    <n v="4"/>
    <n v="149.99"/>
    <s v="Debit Card"/>
    <s v="South"/>
    <x v="1"/>
    <d v="2022-09-16T00:00:00"/>
    <n v="599.96"/>
  </r>
  <r>
    <s v="TRX0075"/>
    <d v="2024-08-13T00:00:00"/>
    <s v="CUST020"/>
    <s v="Margaret Wright"/>
    <s v="P009"/>
    <x v="0"/>
    <s v="Electronics"/>
    <n v="5"/>
    <n v="249.99"/>
    <s v="Paypal"/>
    <s v="East"/>
    <x v="1"/>
    <d v="2022-08-09T00:00:00"/>
    <n v="1249.95"/>
  </r>
  <r>
    <s v="TRX0098"/>
    <d v="2024-08-13T00:00:00"/>
    <s v="CUST026"/>
    <s v="Karen Hill"/>
    <s v="P009"/>
    <x v="0"/>
    <s v="Electronics"/>
    <n v="3"/>
    <n v="249.99"/>
    <s v="Paypal"/>
    <s v="North"/>
    <x v="1"/>
    <d v="2021-09-26T00:00:00"/>
    <n v="749.97"/>
  </r>
  <r>
    <s v="TRX0247"/>
    <d v="2024-08-13T00:00:00"/>
    <s v="CUST046"/>
    <s v="Kathleen Bennett"/>
    <s v="P006"/>
    <x v="9"/>
    <s v="Furniture"/>
    <n v="4"/>
    <n v="199.99"/>
    <s v="Cash"/>
    <s v="North"/>
    <x v="2"/>
    <d v="2021-09-19T00:00:00"/>
    <n v="799.96"/>
  </r>
  <r>
    <s v="TRX0027"/>
    <d v="2024-08-15T00:00:00"/>
    <s v="CUST028"/>
    <s v="Betty Campbell"/>
    <s v="P006"/>
    <x v="9"/>
    <s v="Furniture"/>
    <n v="5"/>
    <n v="199.99"/>
    <s v="Cash"/>
    <s v="North"/>
    <x v="1"/>
    <d v="2023-03-06T00:00:00"/>
    <n v="999.95"/>
  </r>
  <r>
    <s v="TRX0140"/>
    <d v="2024-08-18T00:00:00"/>
    <s v="CUST025"/>
    <s v="Mark Carter"/>
    <s v="P010"/>
    <x v="8"/>
    <s v="Electronics"/>
    <n v="2"/>
    <n v="89.99"/>
    <s v="Cash"/>
    <s v="East"/>
    <x v="1"/>
    <d v="2023-02-15T00:00:00"/>
    <n v="179.98"/>
  </r>
  <r>
    <s v="TRX0132"/>
    <d v="2024-08-19T00:00:00"/>
    <s v="CUST047"/>
    <s v="Gerald Murphy"/>
    <s v="P001"/>
    <x v="4"/>
    <s v="Electronics"/>
    <n v="5"/>
    <n v="899.99"/>
    <s v="Debit Card"/>
    <s v="East"/>
    <x v="0"/>
    <d v="2021-11-26T00:00:00"/>
    <n v="4499.95"/>
  </r>
  <r>
    <s v="TRX0031"/>
    <d v="2024-08-19T00:00:00"/>
    <s v="CUST036"/>
    <s v="Nancy Collins"/>
    <s v="P003"/>
    <x v="3"/>
    <s v="Electronics"/>
    <n v="3"/>
    <n v="149.99"/>
    <s v="Paypal"/>
    <s v="East"/>
    <x v="0"/>
    <d v="2022-01-13T00:00:00"/>
    <n v="449.97"/>
  </r>
  <r>
    <s v="TRX0236"/>
    <d v="2024-08-22T00:00:00"/>
    <s v="CUST044"/>
    <s v="Cynthia Price"/>
    <s v="P008"/>
    <x v="2"/>
    <s v="Furniture"/>
    <n v="5"/>
    <n v="149.99"/>
    <s v="Credit Card"/>
    <s v="Central"/>
    <x v="0"/>
    <d v="2024-01-19T00:00:00"/>
    <n v="749.95"/>
  </r>
  <r>
    <s v="TRX0001"/>
    <d v="2024-08-24T00:00:00"/>
    <s v="CUST039"/>
    <s v="Lawrence Reed"/>
    <s v="P004"/>
    <x v="7"/>
    <s v="Appliances"/>
    <n v="3"/>
    <n v="79.989999999999995"/>
    <s v="Cash"/>
    <s v="Central"/>
    <x v="1"/>
    <d v="2022-08-06T00:00:00"/>
    <n v="239.97"/>
  </r>
  <r>
    <s v="TRX0037"/>
    <d v="2024-08-24T00:00:00"/>
    <s v="CUST035"/>
    <s v="Harry Morgan"/>
    <s v="P009"/>
    <x v="0"/>
    <s v="Electronics"/>
    <n v="2"/>
    <n v="249.99"/>
    <s v="Cash"/>
    <s v="South"/>
    <x v="2"/>
    <d v="2022-01-11T00:00:00"/>
    <n v="499.98"/>
  </r>
  <r>
    <s v="TRX0058"/>
    <d v="2024-08-28T00:00:00"/>
    <s v="CUST047"/>
    <s v="Gerald Murphy"/>
    <s v="P002"/>
    <x v="5"/>
    <s v="Electronics"/>
    <n v="1"/>
    <n v="699.99"/>
    <s v="Cash"/>
    <s v="Central"/>
    <x v="1"/>
    <d v="2021-10-28T00:00:00"/>
    <n v="699.99"/>
  </r>
  <r>
    <s v="TRX0170"/>
    <d v="2024-08-28T00:00:00"/>
    <s v="CUST034"/>
    <s v="Carol Evans"/>
    <s v="P003"/>
    <x v="3"/>
    <s v="Electronics"/>
    <n v="3"/>
    <n v="149.99"/>
    <s v="Cash"/>
    <s v="West"/>
    <x v="1"/>
    <d v="2023-10-13T00:00:00"/>
    <n v="449.97"/>
  </r>
  <r>
    <s v="TRX0248"/>
    <d v="2024-08-30T00:00:00"/>
    <s v="CUST032"/>
    <s v="Sandra Phillips"/>
    <s v="P002"/>
    <x v="5"/>
    <s v="Electronics"/>
    <n v="2"/>
    <n v="699.99"/>
    <s v="Credit Card"/>
    <s v="North"/>
    <x v="1"/>
    <d v="2021-08-13T00:00:00"/>
    <n v="1399.98"/>
  </r>
  <r>
    <s v="TRX0099"/>
    <d v="2024-09-02T00:00:00"/>
    <s v="CUST034"/>
    <s v="Carol Evans"/>
    <s v="P009"/>
    <x v="0"/>
    <s v="Electronics"/>
    <n v="1"/>
    <n v="249.99"/>
    <s v="Credit Card"/>
    <s v="West"/>
    <x v="1"/>
    <d v="2022-05-04T00:00:00"/>
    <n v="249.99"/>
  </r>
  <r>
    <s v="TRX0074"/>
    <d v="2024-09-02T00:00:00"/>
    <s v="CUST023"/>
    <s v="Paul Baker"/>
    <s v="P009"/>
    <x v="0"/>
    <s v="Electronics"/>
    <n v="1"/>
    <n v="249.99"/>
    <s v="Debit Card"/>
    <s v="North"/>
    <x v="1"/>
    <d v="2024-02-10T00:00:00"/>
    <n v="249.99"/>
  </r>
  <r>
    <s v="TRX0225"/>
    <d v="2024-09-03T00:00:00"/>
    <s v="CUST039"/>
    <s v="Lawrence Reed"/>
    <s v="P002"/>
    <x v="5"/>
    <s v="Electronics"/>
    <n v="2"/>
    <n v="699.99"/>
    <s v="Debit Card"/>
    <s v="Central"/>
    <x v="1"/>
    <d v="2022-11-05T00:00:00"/>
    <n v="1399.98"/>
  </r>
  <r>
    <s v="TRX0100"/>
    <d v="2024-09-06T00:00:00"/>
    <s v="CUST031"/>
    <s v="Steven Turner"/>
    <s v="P005"/>
    <x v="1"/>
    <s v="Appliances"/>
    <n v="3"/>
    <n v="59.99"/>
    <s v="Credit Card"/>
    <s v="Central"/>
    <x v="1"/>
    <d v="2022-06-05T00:00:00"/>
    <n v="179.97"/>
  </r>
  <r>
    <s v="TRX0142"/>
    <d v="2024-09-09T00:00:00"/>
    <s v="CUST002"/>
    <s v="Emma Wilson"/>
    <s v="P005"/>
    <x v="1"/>
    <s v="Appliances"/>
    <n v="3"/>
    <n v="59.99"/>
    <s v="Paypal"/>
    <s v="East"/>
    <x v="2"/>
    <d v="2022-07-06T00:00:00"/>
    <n v="179.97"/>
  </r>
  <r>
    <s v="TRX0112"/>
    <d v="2024-09-09T00:00:00"/>
    <s v="CUST008"/>
    <s v="Jennifer Taylor"/>
    <s v="P004"/>
    <x v="7"/>
    <s v="Appliances"/>
    <n v="4"/>
    <n v="79.989999999999995"/>
    <s v="Cash"/>
    <s v="North"/>
    <x v="0"/>
    <d v="2021-11-30T00:00:00"/>
    <n v="319.95999999999998"/>
  </r>
  <r>
    <s v="TRX0161"/>
    <d v="2024-09-10T00:00:00"/>
    <s v="CUST017"/>
    <s v="Charles Allen"/>
    <s v="P004"/>
    <x v="7"/>
    <s v="Appliances"/>
    <n v="1"/>
    <n v="79.989999999999995"/>
    <s v="Cash"/>
    <s v="West"/>
    <x v="0"/>
    <d v="2022-05-12T00:00:00"/>
    <n v="79.989999999999995"/>
  </r>
  <r>
    <s v="TRX0108"/>
    <d v="2024-09-12T00:00:00"/>
    <s v="CUST024"/>
    <s v="Dorothy Nelson"/>
    <s v="P007"/>
    <x v="6"/>
    <s v="Furniture"/>
    <n v="3"/>
    <n v="299.99"/>
    <s v="Credit Card"/>
    <s v="Central"/>
    <x v="1"/>
    <d v="2021-10-25T00:00:00"/>
    <n v="899.97"/>
  </r>
  <r>
    <s v="TRX0211"/>
    <d v="2024-09-13T00:00:00"/>
    <s v="CUST046"/>
    <s v="Kathleen Bennett"/>
    <s v="P010"/>
    <x v="8"/>
    <s v="Electronics"/>
    <n v="2"/>
    <n v="89.99"/>
    <s v="Credit Card"/>
    <s v="South"/>
    <x v="1"/>
    <d v="2022-03-21T00:00:00"/>
    <n v="179.98"/>
  </r>
  <r>
    <s v="TRX0005"/>
    <d v="2024-09-15T00:00:00"/>
    <s v="CUST042"/>
    <s v="Ruth Brooks"/>
    <s v="P003"/>
    <x v="3"/>
    <s v="Electronics"/>
    <n v="4"/>
    <n v="149.99"/>
    <s v="Cash"/>
    <s v="North"/>
    <x v="0"/>
    <d v="2022-12-14T00:00:00"/>
    <n v="599.96"/>
  </r>
  <r>
    <s v="TRX0195"/>
    <d v="2024-09-16T00:00:00"/>
    <s v="CUST026"/>
    <s v="Karen Hill"/>
    <s v="P009"/>
    <x v="0"/>
    <s v="Electronics"/>
    <n v="2"/>
    <n v="249.99"/>
    <s v="Paypal"/>
    <s v="South"/>
    <x v="0"/>
    <d v="2023-03-08T00:00:00"/>
    <n v="499.98"/>
  </r>
  <r>
    <s v="TRX0054"/>
    <d v="2024-09-16T00:00:00"/>
    <s v="CUST004"/>
    <s v="Sarah Davis"/>
    <s v="P006"/>
    <x v="9"/>
    <s v="Furniture"/>
    <n v="4"/>
    <n v="199.99"/>
    <s v="Debit Card"/>
    <s v="East"/>
    <x v="0"/>
    <d v="2021-09-19T00:00:00"/>
    <n v="799.96"/>
  </r>
  <r>
    <s v="TRX0077"/>
    <d v="2024-09-19T00:00:00"/>
    <s v="CUST019"/>
    <s v="Daniel King"/>
    <s v="P010"/>
    <x v="8"/>
    <s v="Electronics"/>
    <n v="5"/>
    <n v="89.99"/>
    <s v="Credit Card"/>
    <s v="East"/>
    <x v="1"/>
    <d v="2021-09-07T00:00:00"/>
    <n v="449.95"/>
  </r>
  <r>
    <s v="TRX0111"/>
    <d v="2024-09-19T00:00:00"/>
    <s v="CUST011"/>
    <s v="William White"/>
    <s v="P003"/>
    <x v="3"/>
    <s v="Electronics"/>
    <n v="1"/>
    <n v="149.99"/>
    <s v="Paypal"/>
    <s v="East"/>
    <x v="2"/>
    <d v="2021-10-13T00:00:00"/>
    <n v="149.99"/>
  </r>
  <r>
    <s v="TRX0123"/>
    <d v="2024-09-19T00:00:00"/>
    <s v="CUST041"/>
    <s v="Peter Richardson"/>
    <s v="P002"/>
    <x v="5"/>
    <s v="Electronics"/>
    <n v="4"/>
    <n v="699.99"/>
    <s v="Paypal"/>
    <s v="South"/>
    <x v="0"/>
    <d v="2022-02-26T00:00:00"/>
    <n v="2799.96"/>
  </r>
  <r>
    <s v="TRX0177"/>
    <d v="2024-09-24T00:00:00"/>
    <s v="CUST032"/>
    <s v="Sandra Phillips"/>
    <s v="P001"/>
    <x v="4"/>
    <s v="Electronics"/>
    <n v="3"/>
    <n v="899.99"/>
    <s v="Credit Card"/>
    <s v="North"/>
    <x v="2"/>
    <d v="2023-08-19T00:00:00"/>
    <n v="2699.97"/>
  </r>
  <r>
    <s v="TRX0119"/>
    <d v="2024-09-25T00:00:00"/>
    <s v="CUST014"/>
    <s v="Linda Martin"/>
    <s v="P008"/>
    <x v="2"/>
    <s v="Furniture"/>
    <n v="3"/>
    <n v="149.99"/>
    <s v="Paypal"/>
    <s v="East"/>
    <x v="0"/>
    <d v="2022-11-21T00:00:00"/>
    <n v="449.97"/>
  </r>
  <r>
    <s v="TRX0181"/>
    <d v="2024-09-28T00:00:00"/>
    <s v="CUST012"/>
    <s v="Patricia Moore"/>
    <s v="P007"/>
    <x v="6"/>
    <s v="Furniture"/>
    <n v="2"/>
    <n v="299.99"/>
    <s v="Debit Card"/>
    <s v="Central"/>
    <x v="0"/>
    <d v="2022-01-08T00:00:00"/>
    <n v="599.98"/>
  </r>
  <r>
    <s v="TRX0129"/>
    <d v="2024-09-29T00:00:00"/>
    <s v="CUST015"/>
    <s v="Richard Lee"/>
    <s v="P006"/>
    <x v="9"/>
    <s v="Furniture"/>
    <n v="1"/>
    <n v="199.99"/>
    <s v="Debit Card"/>
    <s v="East"/>
    <x v="2"/>
    <d v="2023-01-27T00:00:00"/>
    <n v="199.99"/>
  </r>
  <r>
    <s v="TRX0174"/>
    <d v="2024-10-01T00:00:00"/>
    <s v="CUST003"/>
    <s v="Michael Brown"/>
    <s v="P007"/>
    <x v="6"/>
    <s v="Furniture"/>
    <n v="4"/>
    <n v="299.99"/>
    <s v="Cash"/>
    <s v="Central"/>
    <x v="1"/>
    <d v="2021-09-21T00:00:00"/>
    <n v="1199.96"/>
  </r>
  <r>
    <s v="TRX0146"/>
    <d v="2024-10-07T00:00:00"/>
    <s v="CUST010"/>
    <s v="Maria Garcia"/>
    <s v="P005"/>
    <x v="1"/>
    <s v="Appliances"/>
    <n v="2"/>
    <n v="59.99"/>
    <s v="Credit Card"/>
    <s v="Central"/>
    <x v="0"/>
    <d v="2022-01-18T00:00:00"/>
    <n v="119.98"/>
  </r>
  <r>
    <s v="TRX0203"/>
    <d v="2024-10-07T00:00:00"/>
    <s v="CUST032"/>
    <s v="Sandra Phillips"/>
    <s v="P003"/>
    <x v="3"/>
    <s v="Electronics"/>
    <n v="4"/>
    <n v="149.99"/>
    <s v="Credit Card"/>
    <s v="North"/>
    <x v="1"/>
    <d v="2023-05-30T00:00:00"/>
    <n v="599.96"/>
  </r>
  <r>
    <s v="TRX0055"/>
    <d v="2024-10-08T00:00:00"/>
    <s v="CUST016"/>
    <s v="Elizabeth Hall"/>
    <s v="P002"/>
    <x v="5"/>
    <s v="Electronics"/>
    <n v="2"/>
    <n v="699.99"/>
    <s v="Debit Card"/>
    <s v="East"/>
    <x v="1"/>
    <d v="2023-12-14T00:00:00"/>
    <n v="1399.98"/>
  </r>
  <r>
    <s v="TRX0218"/>
    <d v="2024-10-08T00:00:00"/>
    <s v="CUST034"/>
    <s v="Carol Evans"/>
    <s v="P008"/>
    <x v="2"/>
    <s v="Furniture"/>
    <n v="3"/>
    <n v="149.99"/>
    <s v="Credit Card"/>
    <s v="South"/>
    <x v="2"/>
    <d v="2023-01-14T00:00:00"/>
    <n v="449.97"/>
  </r>
  <r>
    <s v="TRX0085"/>
    <d v="2024-10-11T00:00:00"/>
    <s v="CUST019"/>
    <s v="Daniel King"/>
    <s v="P007"/>
    <x v="6"/>
    <s v="Furniture"/>
    <n v="3"/>
    <n v="299.99"/>
    <s v="Credit Card"/>
    <s v="Central"/>
    <x v="2"/>
    <d v="2023-09-05T00:00:00"/>
    <n v="899.97"/>
  </r>
  <r>
    <s v="TRX0158"/>
    <d v="2024-10-14T00:00:00"/>
    <s v="CUST027"/>
    <s v="George Adams"/>
    <s v="P001"/>
    <x v="4"/>
    <s v="Electronics"/>
    <n v="3"/>
    <n v="899.99"/>
    <s v="Paypal"/>
    <s v="West"/>
    <x v="0"/>
    <d v="2023-10-16T00:00:00"/>
    <n v="2699.97"/>
  </r>
  <r>
    <s v="TRX0173"/>
    <d v="2024-10-16T00:00:00"/>
    <s v="CUST018"/>
    <s v="Barbara Young"/>
    <s v="P002"/>
    <x v="5"/>
    <s v="Electronics"/>
    <n v="5"/>
    <n v="699.99"/>
    <s v="Cash"/>
    <s v="East"/>
    <x v="2"/>
    <d v="2023-03-23T00:00:00"/>
    <n v="3499.95"/>
  </r>
  <r>
    <s v="TRX0034"/>
    <d v="2024-10-16T00:00:00"/>
    <s v="CUST049"/>
    <s v="Raymond Ross"/>
    <s v="P002"/>
    <x v="5"/>
    <s v="Electronics"/>
    <n v="4"/>
    <n v="699.99"/>
    <s v="Credit Card"/>
    <s v="Central"/>
    <x v="0"/>
    <d v="2024-04-03T00:00:00"/>
    <n v="2799.96"/>
  </r>
  <r>
    <s v="TRX0189"/>
    <d v="2024-10-16T00:00:00"/>
    <s v="CUST040"/>
    <s v="Sharon Butler"/>
    <s v="P001"/>
    <x v="4"/>
    <s v="Electronics"/>
    <n v="1"/>
    <n v="899.99"/>
    <s v="Credit Card"/>
    <s v="East"/>
    <x v="2"/>
    <d v="2024-03-18T00:00:00"/>
    <n v="899.99"/>
  </r>
  <r>
    <s v="TRX0190"/>
    <d v="2024-10-18T00:00:00"/>
    <s v="CUST039"/>
    <s v="Lawrence Reed"/>
    <s v="P003"/>
    <x v="3"/>
    <s v="Electronics"/>
    <n v="2"/>
    <n v="149.99"/>
    <s v="Credit Card"/>
    <s v="West"/>
    <x v="0"/>
    <d v="2022-12-21T00:00:00"/>
    <n v="299.98"/>
  </r>
  <r>
    <s v="TRX0079"/>
    <d v="2024-10-21T00:00:00"/>
    <s v="CUST039"/>
    <s v="Lawrence Reed"/>
    <s v="P010"/>
    <x v="8"/>
    <s v="Electronics"/>
    <n v="3"/>
    <n v="89.99"/>
    <s v="Paypal"/>
    <s v="Central"/>
    <x v="0"/>
    <d v="2021-12-21T00:00:00"/>
    <n v="269.97000000000003"/>
  </r>
  <r>
    <s v="TRX0095"/>
    <d v="2024-10-23T00:00:00"/>
    <s v="CUST046"/>
    <s v="Kathleen Bennett"/>
    <s v="P003"/>
    <x v="3"/>
    <s v="Electronics"/>
    <n v="2"/>
    <n v="149.99"/>
    <s v="Paypal"/>
    <s v="Central"/>
    <x v="0"/>
    <d v="2021-10-04T00:00:00"/>
    <n v="299.98"/>
  </r>
  <r>
    <s v="TRX0009"/>
    <d v="2024-10-23T00:00:00"/>
    <s v="CUST004"/>
    <s v="Sarah Davis"/>
    <s v="P002"/>
    <x v="5"/>
    <s v="Electronics"/>
    <n v="2"/>
    <n v="699.99"/>
    <s v="Cash"/>
    <s v="Central"/>
    <x v="0"/>
    <d v="2023-03-07T00:00:00"/>
    <n v="1399.98"/>
  </r>
  <r>
    <s v="TRX0167"/>
    <d v="2024-10-24T00:00:00"/>
    <s v="CUST028"/>
    <s v="Betty Campbell"/>
    <s v="P002"/>
    <x v="5"/>
    <s v="Electronics"/>
    <n v="5"/>
    <n v="699.99"/>
    <s v="Cash"/>
    <s v="North"/>
    <x v="1"/>
    <d v="2022-03-15T00:00:00"/>
    <n v="3499.95"/>
  </r>
  <r>
    <s v="TRX0153"/>
    <d v="2024-10-27T00:00:00"/>
    <s v="CUST049"/>
    <s v="Raymond Ross"/>
    <s v="P010"/>
    <x v="8"/>
    <s v="Electronics"/>
    <n v="3"/>
    <n v="89.99"/>
    <s v="Credit Card"/>
    <s v="North"/>
    <x v="2"/>
    <d v="2022-02-23T00:00:00"/>
    <n v="269.97000000000003"/>
  </r>
  <r>
    <s v="TRX0057"/>
    <d v="2024-11-01T00:00:00"/>
    <s v="CUST023"/>
    <s v="Paul Baker"/>
    <s v="P009"/>
    <x v="0"/>
    <s v="Electronics"/>
    <n v="5"/>
    <n v="249.99"/>
    <s v="Credit Card"/>
    <s v="South"/>
    <x v="2"/>
    <d v="2022-11-16T00:00:00"/>
    <n v="1249.95"/>
  </r>
  <r>
    <s v="TRX0017"/>
    <d v="2024-11-04T00:00:00"/>
    <s v="CUST026"/>
    <s v="Karen Hill"/>
    <s v="P007"/>
    <x v="6"/>
    <s v="Furniture"/>
    <n v="3"/>
    <n v="299.99"/>
    <s v="Credit Card"/>
    <s v="South"/>
    <x v="2"/>
    <d v="2021-11-02T00:00:00"/>
    <n v="899.97"/>
  </r>
  <r>
    <s v="TRX0060"/>
    <d v="2024-11-07T00:00:00"/>
    <s v="CUST012"/>
    <s v="Patricia Moore"/>
    <s v="P010"/>
    <x v="8"/>
    <s v="Electronics"/>
    <n v="3"/>
    <n v="89.99"/>
    <s v="Credit Card"/>
    <s v="North"/>
    <x v="1"/>
    <d v="2021-08-12T00:00:00"/>
    <n v="269.97000000000003"/>
  </r>
  <r>
    <s v="TRX0109"/>
    <d v="2024-11-08T00:00:00"/>
    <s v="CUST010"/>
    <s v="Maria Garcia"/>
    <s v="P008"/>
    <x v="2"/>
    <s v="Furniture"/>
    <n v="2"/>
    <n v="149.99"/>
    <s v="Credit Card"/>
    <s v="West"/>
    <x v="1"/>
    <d v="2022-10-14T00:00:00"/>
    <n v="299.98"/>
  </r>
  <r>
    <s v="TRX0090"/>
    <d v="2024-11-09T00:00:00"/>
    <s v="CUST020"/>
    <s v="Margaret Wright"/>
    <s v="P009"/>
    <x v="0"/>
    <s v="Electronics"/>
    <n v="1"/>
    <n v="249.99"/>
    <s v="Credit Card"/>
    <s v="North"/>
    <x v="1"/>
    <d v="2022-09-24T00:00:00"/>
    <n v="249.99"/>
  </r>
  <r>
    <s v="TRX0035"/>
    <d v="2024-11-11T00:00:00"/>
    <s v="CUST041"/>
    <s v="Peter Richardson"/>
    <s v="P003"/>
    <x v="3"/>
    <s v="Electronics"/>
    <n v="3"/>
    <n v="149.99"/>
    <s v="Cash"/>
    <s v="North"/>
    <x v="0"/>
    <d v="2022-07-27T00:00:00"/>
    <n v="449.97"/>
  </r>
  <r>
    <s v="TRX0172"/>
    <d v="2024-11-11T00:00:00"/>
    <s v="CUST023"/>
    <s v="Paul Baker"/>
    <s v="P005"/>
    <x v="1"/>
    <s v="Appliances"/>
    <n v="5"/>
    <n v="59.99"/>
    <s v="Paypal"/>
    <s v="West"/>
    <x v="1"/>
    <d v="2022-05-13T00:00:00"/>
    <n v="299.95"/>
  </r>
  <r>
    <s v="TRX0076"/>
    <d v="2024-11-11T00:00:00"/>
    <s v="CUST012"/>
    <s v="Patricia Moore"/>
    <s v="P009"/>
    <x v="0"/>
    <s v="Electronics"/>
    <n v="4"/>
    <n v="249.99"/>
    <s v="Credit Card"/>
    <s v="West"/>
    <x v="2"/>
    <d v="2022-04-08T00:00:00"/>
    <n v="999.96"/>
  </r>
  <r>
    <s v="TRX0210"/>
    <d v="2024-11-12T00:00:00"/>
    <s v="CUST004"/>
    <s v="Sarah Davis"/>
    <s v="P008"/>
    <x v="2"/>
    <s v="Furniture"/>
    <n v="5"/>
    <n v="149.99"/>
    <s v="Paypal"/>
    <s v="Central"/>
    <x v="0"/>
    <d v="2022-12-06T00:00:00"/>
    <n v="749.95"/>
  </r>
  <r>
    <s v="TRX0149"/>
    <d v="2024-11-12T00:00:00"/>
    <s v="CUST027"/>
    <s v="George Adams"/>
    <s v="P005"/>
    <x v="1"/>
    <s v="Appliances"/>
    <n v="3"/>
    <n v="59.99"/>
    <s v="Debit Card"/>
    <s v="South"/>
    <x v="2"/>
    <d v="2023-11-30T00:00:00"/>
    <n v="179.97"/>
  </r>
  <r>
    <s v="TRX0073"/>
    <d v="2024-11-17T00:00:00"/>
    <s v="CUST032"/>
    <s v="Sandra Phillips"/>
    <s v="P008"/>
    <x v="2"/>
    <s v="Furniture"/>
    <n v="5"/>
    <n v="149.99"/>
    <s v="Cash"/>
    <s v="North"/>
    <x v="0"/>
    <d v="2022-11-04T00:00:00"/>
    <n v="749.95"/>
  </r>
  <r>
    <s v="TRX0033"/>
    <d v="2024-11-17T00:00:00"/>
    <s v="CUST025"/>
    <s v="Mark Carter"/>
    <s v="P002"/>
    <x v="5"/>
    <s v="Electronics"/>
    <n v="2"/>
    <n v="699.99"/>
    <s v="Paypal"/>
    <s v="West"/>
    <x v="2"/>
    <d v="2022-07-28T00:00:00"/>
    <n v="1399.98"/>
  </r>
  <r>
    <s v="TRX0160"/>
    <d v="2024-11-21T00:00:00"/>
    <s v="CUST029"/>
    <s v="Edward Mitchell"/>
    <s v="P006"/>
    <x v="9"/>
    <s v="Furniture"/>
    <n v="4"/>
    <n v="199.99"/>
    <s v="Debit Card"/>
    <s v="Central"/>
    <x v="1"/>
    <d v="2021-08-19T00:00:00"/>
    <n v="799.96"/>
  </r>
  <r>
    <s v="TRX0145"/>
    <d v="2024-11-23T00:00:00"/>
    <s v="CUST033"/>
    <s v="Frank Torres"/>
    <s v="P005"/>
    <x v="1"/>
    <s v="Appliances"/>
    <n v="1"/>
    <n v="59.99"/>
    <s v="Debit Card"/>
    <s v="West"/>
    <x v="2"/>
    <d v="2021-12-30T00:00:00"/>
    <n v="59.99"/>
  </r>
  <r>
    <s v="TRX0148"/>
    <d v="2024-11-23T00:00:00"/>
    <s v="CUST004"/>
    <s v="Sarah Davis"/>
    <s v="P002"/>
    <x v="5"/>
    <s v="Electronics"/>
    <n v="3"/>
    <n v="699.99"/>
    <s v="Paypal"/>
    <s v="West"/>
    <x v="2"/>
    <d v="2022-01-22T00:00:00"/>
    <n v="2099.9699999999998"/>
  </r>
  <r>
    <s v="TRX0012"/>
    <d v="2024-11-26T00:00:00"/>
    <s v="CUST045"/>
    <s v="Douglas Watson"/>
    <s v="P009"/>
    <x v="0"/>
    <s v="Electronics"/>
    <n v="5"/>
    <n v="249.99"/>
    <s v="Credit Card"/>
    <s v="North"/>
    <x v="0"/>
    <d v="2022-11-08T00:00:00"/>
    <n v="1249.95"/>
  </r>
  <r>
    <s v="TRX0206"/>
    <d v="2024-11-27T00:00:00"/>
    <s v="CUST014"/>
    <s v="Linda Martin"/>
    <s v="P008"/>
    <x v="2"/>
    <s v="Furniture"/>
    <n v="2"/>
    <n v="149.99"/>
    <s v="Cash"/>
    <s v="South"/>
    <x v="2"/>
    <d v="2023-06-24T00:00:00"/>
    <n v="299.98"/>
  </r>
  <r>
    <s v="TRX0045"/>
    <d v="2024-12-01T00:00:00"/>
    <s v="CUST021"/>
    <s v="Kevin Scott"/>
    <s v="P007"/>
    <x v="6"/>
    <s v="Furniture"/>
    <n v="3"/>
    <n v="299.99"/>
    <s v="Cash"/>
    <s v="South"/>
    <x v="1"/>
    <d v="2022-04-08T00:00:00"/>
    <n v="899.97"/>
  </r>
  <r>
    <s v="TRX0094"/>
    <d v="2024-12-01T00:00:00"/>
    <s v="CUST017"/>
    <s v="Charles Allen"/>
    <s v="P009"/>
    <x v="0"/>
    <s v="Electronics"/>
    <n v="5"/>
    <n v="249.99"/>
    <s v="Cash"/>
    <s v="Central"/>
    <x v="1"/>
    <d v="2021-10-16T00:00:00"/>
    <n v="1249.95"/>
  </r>
  <r>
    <s v="TRX0133"/>
    <d v="2024-12-01T00:00:00"/>
    <s v="CUST013"/>
    <s v="Joseph Jackson"/>
    <s v="P003"/>
    <x v="3"/>
    <s v="Electronics"/>
    <n v="2"/>
    <n v="149.99"/>
    <s v="Cash"/>
    <s v="South"/>
    <x v="1"/>
    <d v="2021-10-06T00:00:00"/>
    <n v="299.98"/>
  </r>
  <r>
    <s v="TRX0201"/>
    <d v="2024-12-01T00:00:00"/>
    <s v="CUST025"/>
    <s v="Mark Carter"/>
    <s v="P002"/>
    <x v="5"/>
    <s v="Electronics"/>
    <n v="5"/>
    <n v="699.99"/>
    <s v="Debit Card"/>
    <s v="West"/>
    <x v="2"/>
    <d v="2023-01-18T00:00:00"/>
    <n v="3499.95"/>
  </r>
  <r>
    <s v="TRX0137"/>
    <d v="2024-12-03T00:00:00"/>
    <s v="CUST011"/>
    <s v="William White"/>
    <s v="P009"/>
    <x v="0"/>
    <s v="Electronics"/>
    <n v="4"/>
    <n v="249.99"/>
    <s v="Paypal"/>
    <s v="East"/>
    <x v="1"/>
    <d v="2023-06-21T00:00:00"/>
    <n v="999.96"/>
  </r>
  <r>
    <s v="TRX0066"/>
    <d v="2024-12-04T00:00:00"/>
    <s v="CUST024"/>
    <s v="Dorothy Nelson"/>
    <s v="P002"/>
    <x v="5"/>
    <s v="Electronics"/>
    <n v="4"/>
    <n v="699.99"/>
    <s v="Credit Card"/>
    <s v="North"/>
    <x v="1"/>
    <d v="2022-05-22T00:00:00"/>
    <n v="2799.96"/>
  </r>
  <r>
    <s v="TRX0180"/>
    <d v="2024-12-09T00:00:00"/>
    <s v="CUST036"/>
    <s v="Nancy Collins"/>
    <s v="P009"/>
    <x v="0"/>
    <s v="Electronics"/>
    <n v="2"/>
    <n v="249.99"/>
    <s v="Credit Card"/>
    <s v="Central"/>
    <x v="1"/>
    <d v="2021-07-19T00:00:00"/>
    <n v="499.98"/>
  </r>
  <r>
    <s v="TRX0082"/>
    <d v="2024-12-09T00:00:00"/>
    <s v="CUST005"/>
    <s v="James Johnson"/>
    <s v="P005"/>
    <x v="1"/>
    <s v="Appliances"/>
    <n v="3"/>
    <n v="59.99"/>
    <s v="Cash"/>
    <s v="Central"/>
    <x v="1"/>
    <d v="2023-05-06T00:00:00"/>
    <n v="179.97"/>
  </r>
  <r>
    <s v="TRX0036"/>
    <d v="2024-12-09T00:00:00"/>
    <s v="CUST008"/>
    <s v="Jennifer Taylor"/>
    <s v="P004"/>
    <x v="7"/>
    <s v="Appliances"/>
    <n v="4"/>
    <n v="79.989999999999995"/>
    <s v="Debit Card"/>
    <s v="East"/>
    <x v="2"/>
    <d v="2022-12-26T00:00:00"/>
    <n v="319.95999999999998"/>
  </r>
  <r>
    <s v="TRX0198"/>
    <d v="2024-12-10T00:00:00"/>
    <s v="CUST030"/>
    <s v="Helen Roberts"/>
    <s v="P004"/>
    <x v="7"/>
    <s v="Appliances"/>
    <n v="3"/>
    <n v="79.989999999999995"/>
    <s v="Debit Card"/>
    <s v="East"/>
    <x v="2"/>
    <d v="2022-08-06T00:00:00"/>
    <n v="239.97"/>
  </r>
  <r>
    <s v="TRX0032"/>
    <d v="2024-12-12T00:00:00"/>
    <s v="CUST041"/>
    <s v="Peter Richardson"/>
    <s v="P001"/>
    <x v="4"/>
    <s v="Electronics"/>
    <n v="2"/>
    <n v="899.99"/>
    <s v="Cash"/>
    <s v="North"/>
    <x v="0"/>
    <d v="2021-07-29T00:00:00"/>
    <n v="1799.98"/>
  </r>
  <r>
    <s v="TRX0081"/>
    <d v="2024-12-15T00:00:00"/>
    <s v="CUST007"/>
    <s v="David Martinez"/>
    <s v="P008"/>
    <x v="2"/>
    <s v="Furniture"/>
    <n v="1"/>
    <n v="149.99"/>
    <s v="Debit Card"/>
    <s v="East"/>
    <x v="2"/>
    <d v="2023-10-01T00:00:00"/>
    <n v="149.99"/>
  </r>
  <r>
    <s v="TRX0224"/>
    <d v="2024-12-15T00:00:00"/>
    <s v="CUST031"/>
    <s v="Steven Turner"/>
    <s v="P007"/>
    <x v="6"/>
    <s v="Furniture"/>
    <n v="2"/>
    <n v="299.99"/>
    <s v="Cash"/>
    <s v="East"/>
    <x v="1"/>
    <d v="2022-06-12T00:00:00"/>
    <n v="599.98"/>
  </r>
  <r>
    <s v="TRX0028"/>
    <d v="2024-12-18T00:00:00"/>
    <s v="CUST002"/>
    <s v="Emma Wilson"/>
    <s v="P005"/>
    <x v="1"/>
    <s v="Appliances"/>
    <n v="2"/>
    <n v="59.99"/>
    <s v="Cash"/>
    <s v="West"/>
    <x v="0"/>
    <d v="2023-09-22T00:00:00"/>
    <n v="119.98"/>
  </r>
  <r>
    <s v="TRX0183"/>
    <d v="2024-12-19T00:00:00"/>
    <s v="CUST007"/>
    <s v="David Martinez"/>
    <s v="P010"/>
    <x v="8"/>
    <s v="Electronics"/>
    <n v="1"/>
    <n v="89.99"/>
    <s v="Debit Card"/>
    <s v="Central"/>
    <x v="2"/>
    <d v="2022-07-18T00:00:00"/>
    <n v="89.99"/>
  </r>
  <r>
    <s v="TRX0163"/>
    <d v="2024-12-19T00:00:00"/>
    <s v="CUST019"/>
    <s v="Daniel King"/>
    <s v="P001"/>
    <x v="4"/>
    <s v="Electronics"/>
    <n v="5"/>
    <n v="899.99"/>
    <s v="Debit Card"/>
    <s v="East"/>
    <x v="2"/>
    <d v="2022-03-05T00:00:00"/>
    <n v="4499.95"/>
  </r>
  <r>
    <s v="TRX0046"/>
    <d v="2024-12-20T00:00:00"/>
    <s v="CUST003"/>
    <s v="Michael Brown"/>
    <s v="P008"/>
    <x v="2"/>
    <s v="Furniture"/>
    <n v="2"/>
    <n v="149.99"/>
    <s v="Cash"/>
    <s v="South"/>
    <x v="0"/>
    <d v="2023-11-09T00:00:00"/>
    <n v="299.98"/>
  </r>
  <r>
    <s v="TRX0164"/>
    <d v="2024-12-22T00:00:00"/>
    <s v="CUST014"/>
    <s v="Linda Martin"/>
    <s v="P003"/>
    <x v="3"/>
    <s v="Electronics"/>
    <n v="2"/>
    <n v="149.99"/>
    <s v="Debit Card"/>
    <s v="West"/>
    <x v="1"/>
    <d v="2023-12-20T00:00:00"/>
    <n v="299.98"/>
  </r>
  <r>
    <s v="TRX0008"/>
    <d v="2024-12-22T00:00:00"/>
    <s v="CUST007"/>
    <s v="David Martinez"/>
    <s v="P008"/>
    <x v="2"/>
    <s v="Furniture"/>
    <n v="3"/>
    <n v="149.99"/>
    <s v="Debit Card"/>
    <s v="North"/>
    <x v="2"/>
    <d v="2021-11-22T00:00:00"/>
    <n v="449.97"/>
  </r>
  <r>
    <s v="TRX0171"/>
    <d v="2024-12-23T00:00:00"/>
    <s v="CUST021"/>
    <s v="Kevin Scott"/>
    <s v="P007"/>
    <x v="6"/>
    <s v="Furniture"/>
    <n v="2"/>
    <n v="299.99"/>
    <s v="Paypal"/>
    <s v="South"/>
    <x v="0"/>
    <d v="2022-06-09T00:00:00"/>
    <n v="599.98"/>
  </r>
  <r>
    <s v="TRX0143"/>
    <d v="2024-12-28T00:00:00"/>
    <s v="CUST003"/>
    <s v="Michael Brown"/>
    <s v="P007"/>
    <x v="6"/>
    <s v="Furniture"/>
    <n v="2"/>
    <n v="299.99"/>
    <s v="Cash"/>
    <s v="West"/>
    <x v="0"/>
    <d v="2022-07-29T00:00:00"/>
    <n v="599.98"/>
  </r>
  <r>
    <s v="TRX0165"/>
    <d v="2024-12-28T00:00:00"/>
    <s v="CUST030"/>
    <s v="Helen Roberts"/>
    <s v="P006"/>
    <x v="9"/>
    <s v="Furniture"/>
    <n v="4"/>
    <n v="199.99"/>
    <s v="Credit Card"/>
    <s v="Central"/>
    <x v="0"/>
    <d v="2021-11-23T00:00:00"/>
    <n v="799.96"/>
  </r>
  <r>
    <s v="TRX0156"/>
    <d v="2024-12-29T00:00:00"/>
    <s v="CUST009"/>
    <s v="Robert Thomas"/>
    <s v="P010"/>
    <x v="8"/>
    <s v="Electronics"/>
    <n v="1"/>
    <n v="89.99"/>
    <s v="Credit Card"/>
    <s v="South"/>
    <x v="1"/>
    <d v="2022-01-30T00:00:00"/>
    <n v="89.99"/>
  </r>
  <r>
    <s v="TRX0147"/>
    <d v="2024-12-29T00:00:00"/>
    <s v="CUST036"/>
    <s v="Nancy Collins"/>
    <s v="P008"/>
    <x v="2"/>
    <s v="Furniture"/>
    <n v="5"/>
    <n v="149.99"/>
    <s v="Cash"/>
    <s v="Central"/>
    <x v="1"/>
    <d v="2024-02-25T00:00:00"/>
    <n v="749.95"/>
  </r>
  <r>
    <s v="TRX0207"/>
    <d v="2024-12-31T00:00:00"/>
    <s v="CUST025"/>
    <s v="Mark Carter"/>
    <s v="P001"/>
    <x v="4"/>
    <s v="Electronics"/>
    <n v="1"/>
    <n v="899.99"/>
    <s v="Paypal"/>
    <s v="North"/>
    <x v="1"/>
    <d v="2023-05-04T00:00:00"/>
    <n v="899.99"/>
  </r>
  <r>
    <s v="TRX0056"/>
    <d v="2025-01-03T00:00:00"/>
    <s v="CUST019"/>
    <s v="Daniel King"/>
    <s v="P010"/>
    <x v="8"/>
    <s v="Electronics"/>
    <n v="2"/>
    <n v="89.99"/>
    <s v="Credit Card"/>
    <s v="South"/>
    <x v="1"/>
    <d v="2022-01-03T00:00:00"/>
    <n v="179.98"/>
  </r>
  <r>
    <s v="TRX0026"/>
    <d v="2025-01-04T00:00:00"/>
    <s v="CUST037"/>
    <s v="Arthur Edwards"/>
    <s v="P001"/>
    <x v="4"/>
    <s v="Electronics"/>
    <n v="1"/>
    <n v="899.99"/>
    <s v="Paypal"/>
    <s v="North"/>
    <x v="2"/>
    <d v="2022-07-10T00:00:00"/>
    <n v="899.99"/>
  </r>
  <r>
    <s v="TRX0237"/>
    <d v="2025-01-06T00:00:00"/>
    <s v="CUST006"/>
    <s v="Lisa Anderson"/>
    <s v="P003"/>
    <x v="3"/>
    <s v="Electronics"/>
    <n v="5"/>
    <n v="149.99"/>
    <s v="Paypal"/>
    <s v="East"/>
    <x v="1"/>
    <d v="2022-09-20T00:00:00"/>
    <n v="749.95"/>
  </r>
  <r>
    <s v="TRX0091"/>
    <d v="2025-01-06T00:00:00"/>
    <s v="CUST003"/>
    <s v="Michael Brown"/>
    <s v="P007"/>
    <x v="6"/>
    <s v="Furniture"/>
    <n v="3"/>
    <n v="299.99"/>
    <s v="Cash"/>
    <s v="South"/>
    <x v="2"/>
    <d v="2021-08-14T00:00:00"/>
    <n v="899.97"/>
  </r>
  <r>
    <s v="TRX0125"/>
    <d v="2025-01-09T00:00:00"/>
    <s v="CUST026"/>
    <s v="Karen Hill"/>
    <s v="P002"/>
    <x v="5"/>
    <s v="Electronics"/>
    <n v="3"/>
    <n v="699.99"/>
    <s v="Credit Card"/>
    <s v="Central"/>
    <x v="1"/>
    <d v="2023-06-28T00:00:00"/>
    <n v="2099.9699999999998"/>
  </r>
  <r>
    <s v="TRX0223"/>
    <d v="2025-01-10T00:00:00"/>
    <s v="CUST036"/>
    <s v="Nancy Collins"/>
    <s v="P006"/>
    <x v="9"/>
    <s v="Furniture"/>
    <n v="5"/>
    <n v="199.99"/>
    <s v="Paypal"/>
    <s v="Central"/>
    <x v="2"/>
    <d v="2022-03-13T00:00:00"/>
    <n v="999.95"/>
  </r>
  <r>
    <s v="TRX0243"/>
    <d v="2025-01-10T00:00:00"/>
    <s v="CUST048"/>
    <s v="Virginia Sanders"/>
    <s v="P009"/>
    <x v="0"/>
    <s v="Electronics"/>
    <n v="5"/>
    <n v="249.99"/>
    <s v="Credit Card"/>
    <s v="South"/>
    <x v="0"/>
    <d v="2024-02-08T00:00:00"/>
    <n v="1249.95"/>
  </r>
  <r>
    <s v="TRX0084"/>
    <d v="2025-01-11T00:00:00"/>
    <s v="CUST031"/>
    <s v="Steven Turner"/>
    <s v="P003"/>
    <x v="3"/>
    <s v="Electronics"/>
    <n v="4"/>
    <n v="149.99"/>
    <s v="Debit Card"/>
    <s v="East"/>
    <x v="2"/>
    <d v="2021-12-06T00:00:00"/>
    <n v="599.96"/>
  </r>
  <r>
    <s v="TRX0238"/>
    <d v="2025-01-11T00:00:00"/>
    <s v="CUST038"/>
    <s v="Michelle Rogers"/>
    <s v="P002"/>
    <x v="5"/>
    <s v="Electronics"/>
    <n v="3"/>
    <n v="699.99"/>
    <s v="Cash"/>
    <s v="North"/>
    <x v="1"/>
    <d v="2022-02-10T00:00:00"/>
    <n v="2099.9699999999998"/>
  </r>
  <r>
    <s v="TRX0102"/>
    <d v="2025-01-13T00:00:00"/>
    <s v="CUST045"/>
    <s v="Douglas Watson"/>
    <s v="P004"/>
    <x v="7"/>
    <s v="Appliances"/>
    <n v="1"/>
    <n v="79.989999999999995"/>
    <s v="Credit Card"/>
    <s v="South"/>
    <x v="0"/>
    <d v="2024-01-31T00:00:00"/>
    <n v="79.989999999999995"/>
  </r>
  <r>
    <s v="TRX0022"/>
    <d v="2025-01-13T00:00:00"/>
    <s v="CUST025"/>
    <s v="Mark Carter"/>
    <s v="P007"/>
    <x v="6"/>
    <s v="Furniture"/>
    <n v="1"/>
    <n v="299.99"/>
    <s v="Credit Card"/>
    <s v="North"/>
    <x v="0"/>
    <d v="2021-08-28T00:00:00"/>
    <n v="299.99"/>
  </r>
  <r>
    <s v="TRX0087"/>
    <d v="2025-01-14T00:00:00"/>
    <s v="CUST028"/>
    <s v="Betty Campbell"/>
    <s v="P009"/>
    <x v="0"/>
    <s v="Electronics"/>
    <n v="4"/>
    <n v="249.99"/>
    <s v="Credit Card"/>
    <s v="North"/>
    <x v="1"/>
    <d v="2021-09-21T00:00:00"/>
    <n v="999.96"/>
  </r>
  <r>
    <s v="TRX0107"/>
    <d v="2025-01-14T00:00:00"/>
    <s v="CUST030"/>
    <s v="Helen Roberts"/>
    <s v="P003"/>
    <x v="3"/>
    <s v="Electronics"/>
    <n v="2"/>
    <n v="149.99"/>
    <s v="Cash"/>
    <s v="North"/>
    <x v="2"/>
    <d v="2022-12-18T00:00:00"/>
    <n v="299.98"/>
  </r>
  <r>
    <s v="TRX0051"/>
    <d v="2025-01-14T00:00:00"/>
    <s v="CUST032"/>
    <s v="Sandra Phillips"/>
    <s v="P007"/>
    <x v="6"/>
    <s v="Furniture"/>
    <n v="3"/>
    <n v="299.99"/>
    <s v="Credit Card"/>
    <s v="South"/>
    <x v="0"/>
    <d v="2023-10-05T00:00:00"/>
    <n v="899.97"/>
  </r>
  <r>
    <s v="TRX0106"/>
    <d v="2025-01-16T00:00:00"/>
    <s v="CUST039"/>
    <s v="Lawrence Reed"/>
    <s v="P006"/>
    <x v="9"/>
    <s v="Furniture"/>
    <n v="4"/>
    <n v="199.99"/>
    <s v="Debit Card"/>
    <s v="South"/>
    <x v="2"/>
    <d v="2021-12-14T00:00:00"/>
    <n v="799.96"/>
  </r>
  <r>
    <s v="TRX0059"/>
    <d v="2025-01-16T00:00:00"/>
    <s v="CUST016"/>
    <s v="Elizabeth Hall"/>
    <s v="P007"/>
    <x v="6"/>
    <s v="Furniture"/>
    <n v="5"/>
    <n v="299.99"/>
    <s v="Debit Card"/>
    <s v="Central"/>
    <x v="0"/>
    <d v="2021-08-23T00:00:00"/>
    <n v="1499.95"/>
  </r>
  <r>
    <s v="TRX0072"/>
    <d v="2025-01-16T00:00:00"/>
    <s v="CUST009"/>
    <s v="Robert Thomas"/>
    <s v="P008"/>
    <x v="2"/>
    <s v="Furniture"/>
    <n v="3"/>
    <n v="149.99"/>
    <s v="Credit Card"/>
    <s v="East"/>
    <x v="2"/>
    <d v="2021-07-18T00:00:00"/>
    <n v="449.97"/>
  </r>
  <r>
    <s v="TRX0110"/>
    <d v="2025-01-19T00:00:00"/>
    <s v="CUST006"/>
    <s v="Lisa Anderson"/>
    <s v="P005"/>
    <x v="1"/>
    <s v="Appliances"/>
    <n v="5"/>
    <n v="59.99"/>
    <s v="Debit Card"/>
    <s v="East"/>
    <x v="0"/>
    <d v="2022-03-22T00:00:00"/>
    <n v="299.95"/>
  </r>
  <r>
    <s v="TRX0126"/>
    <d v="2025-01-25T00:00:00"/>
    <s v="CUST022"/>
    <s v="Susan Green"/>
    <s v="P005"/>
    <x v="1"/>
    <s v="Appliances"/>
    <n v="4"/>
    <n v="59.99"/>
    <s v="Debit Card"/>
    <s v="East"/>
    <x v="2"/>
    <d v="2022-01-03T00:00:00"/>
    <n v="239.96"/>
  </r>
  <r>
    <s v="TRX0159"/>
    <d v="2025-01-26T00:00:00"/>
    <s v="CUST024"/>
    <s v="Dorothy Nelson"/>
    <s v="P009"/>
    <x v="0"/>
    <s v="Electronics"/>
    <n v="4"/>
    <n v="249.99"/>
    <s v="Debit Card"/>
    <s v="Central"/>
    <x v="1"/>
    <d v="2023-10-18T00:00:00"/>
    <n v="999.96"/>
  </r>
  <r>
    <s v="TRX0030"/>
    <d v="2025-01-29T00:00:00"/>
    <s v="CUST011"/>
    <s v="William White"/>
    <s v="P001"/>
    <x v="4"/>
    <s v="Electronics"/>
    <n v="4"/>
    <n v="899.99"/>
    <s v="Paypal"/>
    <s v="Central"/>
    <x v="0"/>
    <d v="2022-06-22T00:00:00"/>
    <n v="3599.96"/>
  </r>
  <r>
    <s v="TRX0178"/>
    <d v="2025-01-29T00:00:00"/>
    <s v="CUST025"/>
    <s v="Mark Carter"/>
    <s v="P007"/>
    <x v="6"/>
    <s v="Furniture"/>
    <n v="3"/>
    <n v="299.99"/>
    <s v="Debit Card"/>
    <s v="West"/>
    <x v="2"/>
    <d v="2023-01-26T00:00:00"/>
    <n v="899.97"/>
  </r>
  <r>
    <s v="TRX0188"/>
    <d v="2025-01-29T00:00:00"/>
    <s v="CUST045"/>
    <s v="Douglas Watson"/>
    <s v="P002"/>
    <x v="5"/>
    <s v="Electronics"/>
    <n v="2"/>
    <n v="699.99"/>
    <s v="Debit Card"/>
    <s v="Central"/>
    <x v="1"/>
    <d v="2022-04-30T00:00:00"/>
    <n v="1399.98"/>
  </r>
  <r>
    <s v="TRX0010"/>
    <d v="2025-01-31T00:00:00"/>
    <s v="CUST026"/>
    <s v="Karen Hill"/>
    <s v="P002"/>
    <x v="5"/>
    <s v="Electronics"/>
    <n v="4"/>
    <n v="699.99"/>
    <s v="Debit Card"/>
    <s v="West"/>
    <x v="1"/>
    <d v="2022-05-11T00:00:00"/>
    <n v="2799.96"/>
  </r>
  <r>
    <s v="TRX0069"/>
    <d v="2025-01-31T00:00:00"/>
    <s v="CUST029"/>
    <s v="Edward Mitchell"/>
    <s v="P010"/>
    <x v="8"/>
    <s v="Electronics"/>
    <n v="2"/>
    <n v="89.99"/>
    <s v="Debit Card"/>
    <s v="South"/>
    <x v="0"/>
    <d v="2022-08-04T00:00:00"/>
    <n v="179.98"/>
  </r>
  <r>
    <s v="TRX0166"/>
    <d v="2025-01-31T00:00:00"/>
    <s v="CUST003"/>
    <s v="Michael Brown"/>
    <s v="P010"/>
    <x v="8"/>
    <s v="Electronics"/>
    <n v="3"/>
    <n v="89.99"/>
    <s v="Debit Card"/>
    <s v="South"/>
    <x v="1"/>
    <d v="2024-01-16T00:00:00"/>
    <n v="269.97000000000003"/>
  </r>
  <r>
    <s v="TRX0219"/>
    <d v="2025-02-04T00:00:00"/>
    <s v="CUST037"/>
    <s v="Arthur Edwards"/>
    <s v="P005"/>
    <x v="1"/>
    <s v="Appliances"/>
    <n v="1"/>
    <n v="59.99"/>
    <s v="Debit Card"/>
    <s v="Central"/>
    <x v="2"/>
    <d v="2023-04-29T00:00:00"/>
    <n v="59.99"/>
  </r>
  <r>
    <s v="TRX0024"/>
    <d v="2025-02-07T00:00:00"/>
    <s v="CUST042"/>
    <s v="Ruth Brooks"/>
    <s v="P008"/>
    <x v="2"/>
    <s v="Furniture"/>
    <n v="3"/>
    <n v="149.99"/>
    <s v="Debit Card"/>
    <s v="North"/>
    <x v="1"/>
    <d v="2022-01-03T00:00:00"/>
    <n v="449.97"/>
  </r>
  <r>
    <s v="TRX0105"/>
    <d v="2025-02-07T00:00:00"/>
    <s v="CUST048"/>
    <s v="Virginia Sanders"/>
    <s v="P007"/>
    <x v="6"/>
    <s v="Furniture"/>
    <n v="5"/>
    <n v="299.99"/>
    <s v="Credit Card"/>
    <s v="South"/>
    <x v="0"/>
    <d v="2023-02-02T00:00:00"/>
    <n v="1499.95"/>
  </r>
  <r>
    <s v="TRX0011"/>
    <d v="2025-02-08T00:00:00"/>
    <s v="CUST040"/>
    <s v="Sharon Butler"/>
    <s v="P005"/>
    <x v="1"/>
    <s v="Appliances"/>
    <n v="5"/>
    <n v="59.99"/>
    <s v="Debit Card"/>
    <s v="Central"/>
    <x v="2"/>
    <d v="2023-09-08T00:00:00"/>
    <n v="299.95"/>
  </r>
  <r>
    <s v="TRX0187"/>
    <d v="2025-02-13T00:00:00"/>
    <s v="CUST036"/>
    <s v="Nancy Collins"/>
    <s v="P004"/>
    <x v="7"/>
    <s v="Appliances"/>
    <n v="3"/>
    <n v="79.989999999999995"/>
    <s v="Cash"/>
    <s v="East"/>
    <x v="1"/>
    <d v="2021-08-28T00:00:00"/>
    <n v="239.97"/>
  </r>
  <r>
    <s v="TRX0089"/>
    <d v="2025-02-16T00:00:00"/>
    <s v="CUST021"/>
    <s v="Kevin Scott"/>
    <s v="P006"/>
    <x v="9"/>
    <s v="Furniture"/>
    <n v="3"/>
    <n v="199.99"/>
    <s v="Cash"/>
    <s v="Central"/>
    <x v="0"/>
    <d v="2022-06-23T00:00:00"/>
    <n v="599.97"/>
  </r>
  <r>
    <s v="TRX0196"/>
    <d v="2025-02-16T00:00:00"/>
    <s v="CUST023"/>
    <s v="Paul Baker"/>
    <s v="P010"/>
    <x v="8"/>
    <s v="Electronics"/>
    <n v="2"/>
    <n v="89.99"/>
    <s v="Paypal"/>
    <s v="Central"/>
    <x v="0"/>
    <d v="2023-11-27T00:00:00"/>
    <n v="179.98"/>
  </r>
  <r>
    <s v="TRX0118"/>
    <d v="2025-02-17T00:00:00"/>
    <s v="CUST015"/>
    <s v="Richard Lee"/>
    <s v="P008"/>
    <x v="2"/>
    <s v="Furniture"/>
    <n v="2"/>
    <n v="149.99"/>
    <s v="Cash"/>
    <s v="South"/>
    <x v="1"/>
    <d v="2022-06-16T00:00:00"/>
    <n v="299.98"/>
  </r>
  <r>
    <s v="TRX0179"/>
    <d v="2025-02-19T00:00:00"/>
    <s v="CUST029"/>
    <s v="Edward Mitchell"/>
    <s v="P002"/>
    <x v="5"/>
    <s v="Electronics"/>
    <n v="5"/>
    <n v="699.99"/>
    <s v="Paypal"/>
    <s v="South"/>
    <x v="1"/>
    <d v="2024-03-01T00:00:00"/>
    <n v="3499.95"/>
  </r>
  <r>
    <s v="TRX0168"/>
    <d v="2025-02-19T00:00:00"/>
    <s v="CUST003"/>
    <s v="Michael Brown"/>
    <s v="P008"/>
    <x v="2"/>
    <s v="Furniture"/>
    <n v="3"/>
    <n v="149.99"/>
    <s v="Paypal"/>
    <s v="Central"/>
    <x v="2"/>
    <d v="2022-03-13T00:00:00"/>
    <n v="449.97"/>
  </r>
  <r>
    <s v="TRX0214"/>
    <d v="2025-02-20T00:00:00"/>
    <s v="CUST018"/>
    <s v="Barbara Young"/>
    <s v="P001"/>
    <x v="4"/>
    <s v="Electronics"/>
    <n v="3"/>
    <n v="899.99"/>
    <s v="Cash"/>
    <s v="East"/>
    <x v="2"/>
    <d v="2022-02-21T00:00:00"/>
    <n v="2699.97"/>
  </r>
  <r>
    <s v="TRX0221"/>
    <d v="2025-02-20T00:00:00"/>
    <s v="CUST033"/>
    <s v="Frank Torres"/>
    <s v="P006"/>
    <x v="9"/>
    <s v="Furniture"/>
    <n v="3"/>
    <n v="199.99"/>
    <s v="Cash"/>
    <s v="West"/>
    <x v="1"/>
    <d v="2022-09-19T00:00:00"/>
    <n v="599.97"/>
  </r>
  <r>
    <s v="TRX0083"/>
    <d v="2025-02-22T00:00:00"/>
    <s v="CUST017"/>
    <s v="Charles Allen"/>
    <s v="P007"/>
    <x v="6"/>
    <s v="Furniture"/>
    <n v="5"/>
    <n v="299.99"/>
    <s v="Cash"/>
    <s v="West"/>
    <x v="2"/>
    <d v="2023-08-04T00:00:00"/>
    <n v="1499.95"/>
  </r>
  <r>
    <s v="TRX0151"/>
    <d v="2025-02-22T00:00:00"/>
    <s v="CUST040"/>
    <s v="Sharon Butler"/>
    <s v="P002"/>
    <x v="5"/>
    <s v="Electronics"/>
    <n v="1"/>
    <n v="699.99"/>
    <s v="Paypal"/>
    <s v="West"/>
    <x v="0"/>
    <d v="2023-01-08T00:00:00"/>
    <n v="699.99"/>
  </r>
  <r>
    <s v="TRX0047"/>
    <d v="2025-02-23T00:00:00"/>
    <s v="CUST042"/>
    <s v="Ruth Brooks"/>
    <s v="P002"/>
    <x v="5"/>
    <s v="Electronics"/>
    <n v="1"/>
    <n v="699.99"/>
    <s v="Cash"/>
    <s v="North"/>
    <x v="1"/>
    <d v="2022-01-22T00:00:00"/>
    <n v="699.99"/>
  </r>
  <r>
    <s v="TRX0200"/>
    <d v="2025-02-23T00:00:00"/>
    <s v="CUST037"/>
    <s v="Arthur Edwards"/>
    <s v="P008"/>
    <x v="2"/>
    <s v="Furniture"/>
    <n v="4"/>
    <n v="149.99"/>
    <s v="Paypal"/>
    <s v="North"/>
    <x v="1"/>
    <d v="2021-08-04T00:00:00"/>
    <n v="599.96"/>
  </r>
  <r>
    <s v="TRX0062"/>
    <d v="2025-02-23T00:00:00"/>
    <s v="CUST016"/>
    <s v="Elizabeth Hall"/>
    <s v="P010"/>
    <x v="8"/>
    <s v="Electronics"/>
    <n v="5"/>
    <n v="89.99"/>
    <s v="Paypal"/>
    <s v="West"/>
    <x v="1"/>
    <d v="2023-08-02T00:00:00"/>
    <n v="449.95"/>
  </r>
  <r>
    <s v="TRX0182"/>
    <d v="2025-02-24T00:00:00"/>
    <s v="CUST031"/>
    <s v="Steven Turner"/>
    <s v="P006"/>
    <x v="9"/>
    <s v="Furniture"/>
    <n v="2"/>
    <n v="199.99"/>
    <s v="Cash"/>
    <s v="Central"/>
    <x v="1"/>
    <d v="2022-01-12T00:00:00"/>
    <n v="399.98"/>
  </r>
  <r>
    <s v="TRX0229"/>
    <d v="2025-02-27T00:00:00"/>
    <s v="CUST015"/>
    <s v="Richard Lee"/>
    <s v="P005"/>
    <x v="1"/>
    <s v="Appliances"/>
    <n v="4"/>
    <n v="59.99"/>
    <s v="Cash"/>
    <s v="West"/>
    <x v="2"/>
    <d v="2023-05-24T00:00:00"/>
    <n v="239.96"/>
  </r>
  <r>
    <s v="TRX0048"/>
    <d v="2025-02-27T00:00:00"/>
    <s v="CUST048"/>
    <s v="Virginia Sanders"/>
    <s v="P007"/>
    <x v="6"/>
    <s v="Furniture"/>
    <n v="2"/>
    <n v="299.99"/>
    <s v="Paypal"/>
    <s v="South"/>
    <x v="0"/>
    <d v="2022-01-15T00:00:00"/>
    <n v="599.98"/>
  </r>
  <r>
    <s v="TRX0227"/>
    <d v="2025-03-02T00:00:00"/>
    <s v="CUST017"/>
    <s v="Charles Allen"/>
    <s v="P008"/>
    <x v="2"/>
    <s v="Furniture"/>
    <n v="2"/>
    <n v="149.99"/>
    <s v="Cash"/>
    <s v="Central"/>
    <x v="0"/>
    <d v="2023-05-22T00:00:00"/>
    <n v="299.98"/>
  </r>
  <r>
    <s v="TRX0226"/>
    <d v="2025-03-04T00:00:00"/>
    <s v="CUST039"/>
    <s v="Lawrence Reed"/>
    <s v="P002"/>
    <x v="5"/>
    <s v="Electronics"/>
    <n v="5"/>
    <n v="699.99"/>
    <s v="Debit Card"/>
    <s v="East"/>
    <x v="1"/>
    <d v="2023-08-23T00:00:00"/>
    <n v="3499.95"/>
  </r>
  <r>
    <s v="TRX0053"/>
    <d v="2025-03-05T00:00:00"/>
    <s v="CUST043"/>
    <s v="Dennis Gray"/>
    <s v="P005"/>
    <x v="1"/>
    <s v="Appliances"/>
    <n v="5"/>
    <n v="59.99"/>
    <s v="Cash"/>
    <s v="West"/>
    <x v="1"/>
    <d v="2023-12-31T00:00:00"/>
    <n v="299.95"/>
  </r>
  <r>
    <s v="TRX0233"/>
    <d v="2025-03-07T00:00:00"/>
    <s v="CUST023"/>
    <s v="Paul Baker"/>
    <s v="P010"/>
    <x v="8"/>
    <s v="Electronics"/>
    <n v="2"/>
    <n v="89.99"/>
    <s v="Credit Card"/>
    <s v="West"/>
    <x v="1"/>
    <d v="2024-01-04T00:00:00"/>
    <n v="179.98"/>
  </r>
  <r>
    <s v="TRX0175"/>
    <d v="2025-03-07T00:00:00"/>
    <s v="CUST030"/>
    <s v="Helen Roberts"/>
    <s v="P009"/>
    <x v="0"/>
    <s v="Electronics"/>
    <n v="5"/>
    <n v="249.99"/>
    <s v="Cash"/>
    <s v="East"/>
    <x v="2"/>
    <d v="2021-12-10T00:00:00"/>
    <n v="1249.95"/>
  </r>
  <r>
    <s v="TRX0186"/>
    <d v="2025-03-08T00:00:00"/>
    <s v="CUST039"/>
    <s v="Lawrence Reed"/>
    <s v="P008"/>
    <x v="2"/>
    <s v="Furniture"/>
    <n v="2"/>
    <n v="149.99"/>
    <s v="Paypal"/>
    <s v="Central"/>
    <x v="1"/>
    <d v="2022-03-12T00:00:00"/>
    <n v="299.98"/>
  </r>
  <r>
    <s v="TRX0016"/>
    <d v="2025-03-08T00:00:00"/>
    <s v="CUST035"/>
    <s v="Harry Morgan"/>
    <s v="P001"/>
    <x v="4"/>
    <s v="Electronics"/>
    <n v="5"/>
    <n v="899.99"/>
    <s v="Paypal"/>
    <s v="East"/>
    <x v="1"/>
    <d v="2024-04-07T00:00:00"/>
    <n v="4499.95"/>
  </r>
  <r>
    <s v="TRX0199"/>
    <d v="2025-03-08T00:00:00"/>
    <s v="CUST017"/>
    <s v="Charles Allen"/>
    <s v="P008"/>
    <x v="2"/>
    <s v="Furniture"/>
    <n v="4"/>
    <n v="149.99"/>
    <s v="Cash"/>
    <s v="Central"/>
    <x v="2"/>
    <d v="2023-12-03T00:00:00"/>
    <n v="599.96"/>
  </r>
  <r>
    <s v="TRX0038"/>
    <d v="2025-03-10T00:00:00"/>
    <s v="CUST035"/>
    <s v="Harry Morgan"/>
    <s v="P009"/>
    <x v="0"/>
    <s v="Electronics"/>
    <n v="1"/>
    <n v="249.99"/>
    <s v="Cash"/>
    <s v="North"/>
    <x v="2"/>
    <d v="2023-07-10T00:00:00"/>
    <n v="249.99"/>
  </r>
  <r>
    <s v="TRX0014"/>
    <d v="2025-03-18T00:00:00"/>
    <s v="CUST033"/>
    <s v="Frank Torres"/>
    <s v="P005"/>
    <x v="1"/>
    <s v="Appliances"/>
    <n v="2"/>
    <n v="59.99"/>
    <s v="Credit Card"/>
    <s v="West"/>
    <x v="0"/>
    <d v="2023-09-24T00:00:00"/>
    <n v="119.98"/>
  </r>
  <r>
    <s v="TRX0003"/>
    <d v="2025-03-21T00:00:00"/>
    <s v="CUST002"/>
    <s v="Emma Wilson"/>
    <s v="P008"/>
    <x v="2"/>
    <s v="Furniture"/>
    <n v="2"/>
    <n v="149.99"/>
    <s v="Cash"/>
    <s v="West"/>
    <x v="1"/>
    <d v="2023-11-03T00:00:00"/>
    <n v="299.98"/>
  </r>
  <r>
    <s v="TRX0124"/>
    <d v="2025-03-21T00:00:00"/>
    <s v="CUST040"/>
    <s v="Sharon Butler"/>
    <s v="P001"/>
    <x v="4"/>
    <s v="Electronics"/>
    <n v="3"/>
    <n v="899.99"/>
    <s v="Debit Card"/>
    <s v="North"/>
    <x v="1"/>
    <d v="2022-11-11T00:00:00"/>
    <n v="2699.97"/>
  </r>
  <r>
    <s v="TRX0013"/>
    <d v="2025-03-21T00:00:00"/>
    <s v="CUST024"/>
    <s v="Dorothy Nelson"/>
    <s v="P001"/>
    <x v="4"/>
    <s v="Electronics"/>
    <n v="3"/>
    <n v="899.99"/>
    <s v="Paypal"/>
    <s v="North"/>
    <x v="0"/>
    <d v="2023-02-18T00:00:00"/>
    <n v="2699.97"/>
  </r>
  <r>
    <s v="TRX0019"/>
    <d v="2025-03-23T00:00:00"/>
    <s v="CUST023"/>
    <s v="Paul Baker"/>
    <s v="P007"/>
    <x v="6"/>
    <s v="Furniture"/>
    <n v="3"/>
    <n v="299.99"/>
    <s v="Credit Card"/>
    <s v="West"/>
    <x v="1"/>
    <d v="2023-11-04T00:00:00"/>
    <n v="899.97"/>
  </r>
  <r>
    <s v="TRX0050"/>
    <d v="2025-03-24T00:00:00"/>
    <s v="CUST001"/>
    <s v="John Smith"/>
    <s v="P008"/>
    <x v="2"/>
    <s v="Furniture"/>
    <n v="4"/>
    <n v="149.99"/>
    <s v="Paypal"/>
    <s v="West"/>
    <x v="2"/>
    <d v="2021-12-30T00:00:00"/>
    <n v="599.96"/>
  </r>
  <r>
    <s v="TRX0152"/>
    <d v="2025-03-27T00:00:00"/>
    <s v="CUST044"/>
    <s v="Cynthia Price"/>
    <s v="P004"/>
    <x v="7"/>
    <s v="Appliances"/>
    <n v="4"/>
    <n v="79.989999999999995"/>
    <s v="Credit Card"/>
    <s v="Central"/>
    <x v="0"/>
    <d v="2023-12-28T00:00:00"/>
    <n v="319.95999999999998"/>
  </r>
  <r>
    <s v="TRX0213"/>
    <d v="2025-03-29T00:00:00"/>
    <s v="CUST020"/>
    <s v="Margaret Wright"/>
    <s v="P010"/>
    <x v="8"/>
    <s v="Electronics"/>
    <n v="5"/>
    <n v="89.99"/>
    <s v="Paypal"/>
    <s v="South"/>
    <x v="0"/>
    <d v="2022-05-23T00:00:00"/>
    <n v="449.95"/>
  </r>
  <r>
    <s v="TRX0197"/>
    <d v="2025-03-30T00:00:00"/>
    <s v="CUST048"/>
    <s v="Virginia Sanders"/>
    <s v="P008"/>
    <x v="2"/>
    <s v="Furniture"/>
    <n v="3"/>
    <n v="149.99"/>
    <s v="Paypal"/>
    <s v="Central"/>
    <x v="2"/>
    <d v="2023-09-02T00:00:00"/>
    <n v="449.97"/>
  </r>
  <r>
    <s v="TRX0250"/>
    <d v="2025-03-30T00:00:00"/>
    <s v="CUST026"/>
    <s v="Karen Hill"/>
    <s v="P010"/>
    <x v="8"/>
    <s v="Electronics"/>
    <n v="2"/>
    <n v="89.99"/>
    <s v="Debit Card"/>
    <s v="West"/>
    <x v="1"/>
    <d v="2021-11-22T00:00:00"/>
    <n v="179.98"/>
  </r>
  <r>
    <s v="TRX0068"/>
    <d v="2025-04-01T00:00:00"/>
    <s v="CUST044"/>
    <s v="Cynthia Price"/>
    <s v="P002"/>
    <x v="5"/>
    <s v="Electronics"/>
    <n v="2"/>
    <n v="699.99"/>
    <s v="Paypal"/>
    <s v="North"/>
    <x v="2"/>
    <d v="2022-02-26T00:00:00"/>
    <n v="1399.98"/>
  </r>
  <r>
    <s v="TRX0144"/>
    <d v="2025-04-02T00:00:00"/>
    <s v="CUST029"/>
    <s v="Edward Mitchell"/>
    <s v="P001"/>
    <x v="4"/>
    <s v="Electronics"/>
    <n v="3"/>
    <n v="899.99"/>
    <s v="Cash"/>
    <s v="Central"/>
    <x v="2"/>
    <d v="2023-01-27T00:00:00"/>
    <n v="2699.97"/>
  </r>
  <r>
    <s v="TRX0039"/>
    <d v="2025-04-08T00:00:00"/>
    <s v="CUST048"/>
    <s v="Virginia Sanders"/>
    <s v="P004"/>
    <x v="7"/>
    <s v="Appliances"/>
    <n v="3"/>
    <n v="79.989999999999995"/>
    <s v="Credit Card"/>
    <s v="North"/>
    <x v="0"/>
    <d v="2021-11-11T00:00:00"/>
    <n v="239.97"/>
  </r>
  <r>
    <s v="TRX0116"/>
    <d v="2025-04-09T00:00:00"/>
    <s v="CUST009"/>
    <s v="Robert Thomas"/>
    <s v="P010"/>
    <x v="8"/>
    <s v="Electronics"/>
    <n v="1"/>
    <n v="89.99"/>
    <s v="Debit Card"/>
    <s v="East"/>
    <x v="0"/>
    <d v="2024-02-24T00:00:00"/>
    <n v="89.99"/>
  </r>
  <r>
    <s v="TRX0120"/>
    <d v="2025-04-11T00:00:00"/>
    <s v="CUST045"/>
    <s v="Douglas Watson"/>
    <s v="P002"/>
    <x v="5"/>
    <s v="Electronics"/>
    <n v="3"/>
    <n v="699.99"/>
    <s v="Paypal"/>
    <s v="North"/>
    <x v="0"/>
    <d v="2022-12-14T00:00:00"/>
    <n v="2099.9699999999998"/>
  </r>
  <r>
    <s v="TRX0103"/>
    <d v="2025-04-11T00:00:00"/>
    <s v="CUST039"/>
    <s v="Lawrence Reed"/>
    <s v="P010"/>
    <x v="8"/>
    <s v="Electronics"/>
    <n v="2"/>
    <n v="89.99"/>
    <s v="Debit Card"/>
    <s v="East"/>
    <x v="0"/>
    <d v="2023-06-11T00:00:00"/>
    <n v="179.98"/>
  </r>
  <r>
    <s v="TRX0064"/>
    <d v="2025-04-11T00:00:00"/>
    <s v="CUST031"/>
    <s v="Steven Turner"/>
    <s v="P010"/>
    <x v="8"/>
    <s v="Electronics"/>
    <n v="3"/>
    <n v="89.99"/>
    <s v="Debit Card"/>
    <s v="North"/>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B1FCC3-C02C-4CE2-877D-5C47E50EDD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B28" firstHeaderRow="1" firstDataRow="1" firstDataCol="1"/>
  <pivotFields count="14">
    <pivotField showAll="0"/>
    <pivotField numFmtId="164" showAll="0"/>
    <pivotField showAll="0"/>
    <pivotField showAll="0"/>
    <pivotField showAll="0"/>
    <pivotField showAll="0"/>
    <pivotField showAll="0"/>
    <pivotField showAll="0"/>
    <pivotField numFmtId="165" showAll="0"/>
    <pivotField showAll="0"/>
    <pivotField showAll="0"/>
    <pivotField axis="axisRow" showAll="0">
      <items count="4">
        <item x="0"/>
        <item x="1"/>
        <item x="2"/>
        <item t="default"/>
      </items>
    </pivotField>
    <pivotField numFmtId="164" showAll="0"/>
    <pivotField dataField="1" numFmtId="165" showAll="0"/>
  </pivotFields>
  <rowFields count="1">
    <field x="11"/>
  </rowFields>
  <rowItems count="4">
    <i>
      <x/>
    </i>
    <i>
      <x v="1"/>
    </i>
    <i>
      <x v="2"/>
    </i>
    <i t="grand">
      <x/>
    </i>
  </rowItems>
  <colItems count="1">
    <i/>
  </colItems>
  <dataFields count="1">
    <dataField name="Sum of Total_Amount" fld="13" baseField="0" baseItem="0" numFmtId="165"/>
  </dataFields>
  <formats count="6">
    <format dxfId="7">
      <pivotArea type="all" dataOnly="0" outline="0" fieldPosition="0"/>
    </format>
    <format dxfId="6">
      <pivotArea outline="0" collapsedLevelsAreSubtotals="1" fieldPosition="0"/>
    </format>
    <format dxfId="5">
      <pivotArea field="11" type="button" dataOnly="0" labelOnly="1" outline="0" axis="axisRow" fieldPosition="0"/>
    </format>
    <format dxfId="4">
      <pivotArea dataOnly="0" labelOnly="1" fieldPosition="0">
        <references count="1">
          <reference field="11" count="0"/>
        </references>
      </pivotArea>
    </format>
    <format dxfId="3">
      <pivotArea dataOnly="0" labelOnly="1" grandRow="1" outline="0" fieldPosition="0"/>
    </format>
    <format dxfId="2">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369FE3-8B80-41A9-AD35-630F6904C7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22" firstHeaderRow="1" firstDataRow="1" firstDataCol="1"/>
  <pivotFields count="14">
    <pivotField showAll="0"/>
    <pivotField numFmtId="164" showAll="0"/>
    <pivotField showAll="0"/>
    <pivotField showAll="0"/>
    <pivotField showAll="0"/>
    <pivotField axis="axisRow" showAll="0">
      <items count="11">
        <item x="1"/>
        <item x="2"/>
        <item x="7"/>
        <item x="6"/>
        <item x="3"/>
        <item x="8"/>
        <item x="4"/>
        <item x="0"/>
        <item x="9"/>
        <item x="5"/>
        <item t="default"/>
      </items>
    </pivotField>
    <pivotField showAll="0"/>
    <pivotField showAll="0"/>
    <pivotField numFmtId="165" showAll="0"/>
    <pivotField showAll="0"/>
    <pivotField showAll="0"/>
    <pivotField showAll="0"/>
    <pivotField numFmtId="164" showAll="0"/>
    <pivotField dataField="1" numFmtId="165" showAll="0"/>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numFmtId="165"/>
  </dataFields>
  <formats count="6">
    <format dxfId="13">
      <pivotArea type="all" dataOnly="0" outline="0" fieldPosition="0"/>
    </format>
    <format dxfId="12">
      <pivotArea outline="0" collapsedLevelsAreSubtotals="1" fieldPosition="0"/>
    </format>
    <format dxfId="11">
      <pivotArea field="5" type="button" dataOnly="0" labelOnly="1" outline="0" axis="axisRow" fieldPosition="0"/>
    </format>
    <format dxfId="10">
      <pivotArea dataOnly="0" labelOnly="1" fieldPosition="0">
        <references count="1">
          <reference field="5" count="0"/>
        </references>
      </pivotArea>
    </format>
    <format dxfId="9">
      <pivotArea dataOnly="0" labelOnly="1" grandRow="1" outline="0" fieldPosition="0"/>
    </format>
    <format dxfId="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AB24B67-D966-4E37-A88C-F030DE84BF69}" sourceName="Customer_Segment">
  <pivotTables>
    <pivotTable tabId="7" name="PivotTable2"/>
  </pivotTables>
  <data>
    <tabular pivotCacheId="25990288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AA56BB8-09DA-4B18-B8D7-E76E85FB562B}" sourceName="Product_Name">
  <pivotTables>
    <pivotTable tabId="7" name="PivotTable1"/>
  </pivotTables>
  <data>
    <tabular pivotCacheId="259902884">
      <items count="10">
        <i x="1" s="1"/>
        <i x="2" s="1"/>
        <i x="7" s="1"/>
        <i x="6" s="1"/>
        <i x="3" s="1"/>
        <i x="8" s="1"/>
        <i x="4" s="1"/>
        <i x="0"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3555E743-8B12-4391-8609-699B5329A387}" cache="Slicer_Customer_Segment" caption="Customer_Segment" rowHeight="241300"/>
  <slicer name="Product_Name" xr10:uid="{91A30015-083E-4424-9FC3-604BCE394D56}" cache="Slicer_Product_Name" caption="Product_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 displayName="tblSales" ref="A1:N251" totalsRowShown="0">
  <autoFilter ref="A1:N251" xr:uid="{00000000-0009-0000-0100-000001000000}"/>
  <tableColumns count="14">
    <tableColumn id="1" xr3:uid="{00000000-0010-0000-0000-000001000000}" name="Transaction_ID"/>
    <tableColumn id="2" xr3:uid="{00000000-0010-0000-0000-000002000000}" name="Date"/>
    <tableColumn id="3" xr3:uid="{00000000-0010-0000-0000-000003000000}" name="Customer"/>
    <tableColumn id="4" xr3:uid="{00000000-0010-0000-0000-000004000000}" name="Customer_Name"/>
    <tableColumn id="5" xr3:uid="{00000000-0010-0000-0000-000005000000}" name="Product_ID"/>
    <tableColumn id="6" xr3:uid="{00000000-0010-0000-0000-000006000000}" name="Product_Name"/>
    <tableColumn id="7" xr3:uid="{00000000-0010-0000-0000-000007000000}" name="Category"/>
    <tableColumn id="8" xr3:uid="{00000000-0010-0000-0000-000008000000}" name="Quantity"/>
    <tableColumn id="9" xr3:uid="{00000000-0010-0000-0000-000009000000}" name="Unit_Price"/>
    <tableColumn id="10" xr3:uid="{00000000-0010-0000-0000-00000A000000}" name="Payment_Method"/>
    <tableColumn id="11" xr3:uid="{00000000-0010-0000-0000-00000B000000}" name="Region"/>
    <tableColumn id="12" xr3:uid="{00000000-0010-0000-0000-00000C000000}" name="Customer_Segment"/>
    <tableColumn id="13" xr3:uid="{00000000-0010-0000-0000-00000D000000}" name="Customer_Since"/>
    <tableColumn id="14" xr3:uid="{00000000-0010-0000-0000-00000E000000}" name="Total_Amount"/>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lean" displayName="tblClean" ref="A1:N251" totalsRowShown="0">
  <autoFilter ref="A1:N251" xr:uid="{00000000-0009-0000-0100-000002000000}"/>
  <tableColumns count="14">
    <tableColumn id="1" xr3:uid="{00000000-0010-0000-0100-000001000000}" name="Transaction_ID"/>
    <tableColumn id="2" xr3:uid="{00000000-0010-0000-0100-000002000000}" name="Date"/>
    <tableColumn id="3" xr3:uid="{00000000-0010-0000-0100-000003000000}" name="Customer_ID"/>
    <tableColumn id="4" xr3:uid="{00000000-0010-0000-0100-000004000000}" name="Customer_Name"/>
    <tableColumn id="5" xr3:uid="{00000000-0010-0000-0100-000005000000}" name="Product_ID"/>
    <tableColumn id="6" xr3:uid="{00000000-0010-0000-0100-000006000000}" name="Product_Name"/>
    <tableColumn id="7" xr3:uid="{00000000-0010-0000-0100-000007000000}" name="Category"/>
    <tableColumn id="8" xr3:uid="{00000000-0010-0000-0100-000008000000}" name="Quantity"/>
    <tableColumn id="9" xr3:uid="{00000000-0010-0000-0100-000009000000}" name="Unit_Price"/>
    <tableColumn id="10" xr3:uid="{00000000-0010-0000-0100-00000A000000}" name="Payment_Method"/>
    <tableColumn id="11" xr3:uid="{00000000-0010-0000-0100-00000B000000}" name="Region"/>
    <tableColumn id="12" xr3:uid="{00000000-0010-0000-0100-00000C000000}" name="Customer_Segment"/>
    <tableColumn id="13" xr3:uid="{00000000-0010-0000-0100-00000D000000}" name="Customer_Since"/>
    <tableColumn id="14" xr3:uid="{00000000-0010-0000-0100-00000E000000}" name="Total_Amount"/>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CustomerRollup" displayName="tblCustomerRollup" ref="A3:L53" totalsRowShown="0">
  <autoFilter ref="A3:L53" xr:uid="{00000000-0009-0000-0100-000003000000}"/>
  <tableColumns count="12">
    <tableColumn id="1" xr3:uid="{00000000-0010-0000-0200-000001000000}" name="Customer_ID"/>
    <tableColumn id="2" xr3:uid="{00000000-0010-0000-0200-000002000000}" name="Customer_Name"/>
    <tableColumn id="3" xr3:uid="{00000000-0010-0000-0200-000003000000}" name="Customer_Since"/>
    <tableColumn id="4" xr3:uid="{00000000-0010-0000-0200-000004000000}" name="Tenure_Years"/>
    <tableColumn id="5" xr3:uid="{00000000-0010-0000-0200-000005000000}" name="Total_Spend"/>
    <tableColumn id="6" xr3:uid="{00000000-0010-0000-0200-000006000000}" name="Order_Count"/>
    <tableColumn id="7" xr3:uid="{00000000-0010-0000-0200-000007000000}" name="Avg_Order_Value"/>
    <tableColumn id="8" xr3:uid="{00000000-0010-0000-0200-000008000000}" name="Spend_Rank"/>
    <tableColumn id="9" xr3:uid="{00000000-0010-0000-0200-000009000000}" name="High_Value_Flag"/>
    <tableColumn id="10" xr3:uid="{00000000-0010-0000-0200-00000A000000}" name="Bought_Laptop"/>
    <tableColumn id="11" xr3:uid="{00000000-0010-0000-0200-00000B000000}" name="Premium_and_Laptop_Match"/>
    <tableColumn id="12" xr3:uid="{00000000-0010-0000-0200-00000C000000}" name="Customer_Cod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MonthlyRevenue" displayName="tblMonthlyRevenue" ref="O23:R36" totalsRowShown="0">
  <autoFilter ref="O23:R36" xr:uid="{00000000-0009-0000-0100-000004000000}"/>
  <tableColumns count="4">
    <tableColumn id="1" xr3:uid="{00000000-0010-0000-0300-000001000000}" name="Month"/>
    <tableColumn id="2" xr3:uid="{00000000-0010-0000-0300-000002000000}" name="Month_Label"/>
    <tableColumn id="3" xr3:uid="{00000000-0010-0000-0300-000003000000}" name="Monthly_Revenue"/>
    <tableColumn id="4" xr3:uid="{00000000-0010-0000-0300-000004000000}" name="Growth_%"/>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ProductSummary" displayName="tblProductSummary" ref="O5:T15" totalsRowShown="0">
  <autoFilter ref="O5:T15" xr:uid="{00000000-0009-0000-0100-000005000000}"/>
  <tableColumns count="6">
    <tableColumn id="1" xr3:uid="{00000000-0010-0000-0400-000001000000}" name="Product_ID"/>
    <tableColumn id="2" xr3:uid="{00000000-0010-0000-0400-000002000000}" name="Product_Name"/>
    <tableColumn id="3" xr3:uid="{00000000-0010-0000-0400-000003000000}" name="Units_Sold"/>
    <tableColumn id="4" xr3:uid="{00000000-0010-0000-0400-000004000000}" name="Times_Purchased"/>
    <tableColumn id="5" xr3:uid="{00000000-0010-0000-0400-000005000000}" name="Revenue"/>
    <tableColumn id="6" xr3:uid="{00000000-0010-0000-0400-000006000000}" name="Product_Cod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32"/>
  <sheetViews>
    <sheetView showGridLines="0" topLeftCell="C7" zoomScale="54" zoomScaleNormal="69" workbookViewId="0">
      <selection activeCell="L25" sqref="L25"/>
    </sheetView>
  </sheetViews>
  <sheetFormatPr defaultColWidth="8.6328125" defaultRowHeight="14.5" x14ac:dyDescent="0.35"/>
  <cols>
    <col min="1" max="1" width="3" customWidth="1"/>
    <col min="2" max="20" width="11" customWidth="1"/>
  </cols>
  <sheetData>
    <row r="1" spans="1:20" ht="30" customHeight="1" x14ac:dyDescent="0.75">
      <c r="A1" s="53"/>
      <c r="B1" s="73" t="s">
        <v>0</v>
      </c>
      <c r="C1" s="74"/>
      <c r="D1" s="74"/>
      <c r="E1" s="74"/>
      <c r="F1" s="74"/>
      <c r="G1" s="74"/>
      <c r="H1" s="74"/>
      <c r="I1" s="43"/>
      <c r="J1" s="43"/>
      <c r="K1" s="43"/>
      <c r="L1" s="43"/>
      <c r="M1" s="43"/>
      <c r="N1" s="75" t="s">
        <v>1</v>
      </c>
      <c r="O1" s="75"/>
      <c r="P1" s="75"/>
      <c r="Q1" s="75"/>
      <c r="R1" s="50"/>
      <c r="S1" s="49"/>
      <c r="T1" s="51"/>
    </row>
    <row r="2" spans="1:20" ht="18" customHeight="1" x14ac:dyDescent="0.45">
      <c r="A2" s="44"/>
      <c r="B2" s="80" t="s">
        <v>2</v>
      </c>
      <c r="C2" s="68"/>
      <c r="D2" s="68"/>
      <c r="E2" s="68"/>
      <c r="F2" s="68"/>
      <c r="G2" s="68"/>
      <c r="H2" s="68"/>
      <c r="N2" s="76"/>
      <c r="O2" s="76"/>
      <c r="P2" s="76"/>
      <c r="Q2" s="76"/>
      <c r="R2" s="52"/>
      <c r="S2" s="51"/>
      <c r="T2" s="51"/>
    </row>
    <row r="3" spans="1:20" ht="15" customHeight="1" x14ac:dyDescent="0.35">
      <c r="A3" s="44"/>
      <c r="N3" s="76"/>
      <c r="O3" s="76"/>
      <c r="P3" s="76"/>
      <c r="Q3" s="76"/>
      <c r="R3" s="52"/>
      <c r="S3" s="51"/>
      <c r="T3" s="51"/>
    </row>
    <row r="4" spans="1:20" ht="18" customHeight="1" x14ac:dyDescent="0.35">
      <c r="A4" s="44"/>
      <c r="B4" s="72" t="s">
        <v>3</v>
      </c>
      <c r="C4" s="68"/>
      <c r="D4" s="68"/>
      <c r="E4" s="68"/>
      <c r="F4" s="72" t="s">
        <v>4</v>
      </c>
      <c r="G4" s="68"/>
      <c r="H4" s="68"/>
      <c r="I4" s="68"/>
      <c r="J4" s="72" t="s">
        <v>5</v>
      </c>
      <c r="K4" s="68"/>
      <c r="L4" s="68"/>
      <c r="M4" s="68"/>
      <c r="N4" s="72" t="s">
        <v>6</v>
      </c>
      <c r="O4" s="72"/>
      <c r="P4" s="72"/>
      <c r="Q4" s="72"/>
      <c r="R4" s="45"/>
    </row>
    <row r="5" spans="1:20" ht="18" customHeight="1" x14ac:dyDescent="0.35">
      <c r="A5" s="44"/>
      <c r="B5" s="68"/>
      <c r="C5" s="68"/>
      <c r="D5" s="68"/>
      <c r="E5" s="68"/>
      <c r="F5" s="68"/>
      <c r="G5" s="68"/>
      <c r="H5" s="68"/>
      <c r="I5" s="68"/>
      <c r="J5" s="68"/>
      <c r="K5" s="68"/>
      <c r="L5" s="68"/>
      <c r="M5" s="68"/>
      <c r="N5" s="72"/>
      <c r="O5" s="72"/>
      <c r="P5" s="72"/>
      <c r="Q5" s="72"/>
      <c r="R5" s="45"/>
    </row>
    <row r="6" spans="1:20" ht="18" customHeight="1" x14ac:dyDescent="0.35">
      <c r="A6" s="44"/>
      <c r="B6" s="77">
        <f>'Dashboard Resources'!B5</f>
        <v>229192.47000000032</v>
      </c>
      <c r="C6" s="68"/>
      <c r="D6" s="68"/>
      <c r="E6" s="68"/>
      <c r="F6" s="79">
        <f>'Dashboard Resources'!B6</f>
        <v>250</v>
      </c>
      <c r="G6" s="68"/>
      <c r="H6" s="68"/>
      <c r="I6" s="68"/>
      <c r="J6" s="79">
        <f>'Dashboard Resources'!B7</f>
        <v>50.000000000000028</v>
      </c>
      <c r="K6" s="68"/>
      <c r="L6" s="68"/>
      <c r="M6" s="68"/>
      <c r="N6" s="78">
        <f>'Dashboard Resources'!B8</f>
        <v>916.76988000000131</v>
      </c>
      <c r="O6" s="78"/>
      <c r="P6" s="78"/>
      <c r="Q6" s="78"/>
      <c r="R6" s="45"/>
    </row>
    <row r="7" spans="1:20" ht="18" customHeight="1" x14ac:dyDescent="0.35">
      <c r="A7" s="44"/>
      <c r="B7" s="68"/>
      <c r="C7" s="68"/>
      <c r="D7" s="68"/>
      <c r="E7" s="68"/>
      <c r="F7" s="68"/>
      <c r="G7" s="68"/>
      <c r="H7" s="68"/>
      <c r="I7" s="68"/>
      <c r="J7" s="68"/>
      <c r="K7" s="68"/>
      <c r="L7" s="68"/>
      <c r="M7" s="68"/>
      <c r="N7" s="78"/>
      <c r="O7" s="78"/>
      <c r="P7" s="78"/>
      <c r="Q7" s="78"/>
      <c r="R7" s="45"/>
    </row>
    <row r="8" spans="1:20" ht="18" customHeight="1" x14ac:dyDescent="0.35">
      <c r="A8" s="44"/>
      <c r="B8" s="68"/>
      <c r="C8" s="68"/>
      <c r="D8" s="68"/>
      <c r="E8" s="68"/>
      <c r="F8" s="68"/>
      <c r="G8" s="68"/>
      <c r="H8" s="68"/>
      <c r="I8" s="68"/>
      <c r="J8" s="68"/>
      <c r="K8" s="68"/>
      <c r="L8" s="68"/>
      <c r="M8" s="68"/>
      <c r="N8" s="78"/>
      <c r="O8" s="78"/>
      <c r="P8" s="78"/>
      <c r="Q8" s="78"/>
      <c r="R8" s="45"/>
    </row>
    <row r="9" spans="1:20" x14ac:dyDescent="0.35">
      <c r="A9" s="44"/>
      <c r="R9" s="45"/>
    </row>
    <row r="10" spans="1:20" ht="15.75" customHeight="1" x14ac:dyDescent="0.35">
      <c r="A10" s="44"/>
      <c r="B10" s="71"/>
      <c r="C10" s="68"/>
      <c r="D10" s="68"/>
      <c r="E10" s="68"/>
      <c r="F10" s="68"/>
      <c r="G10" s="68"/>
      <c r="H10" s="68"/>
      <c r="I10" s="71"/>
      <c r="J10" s="68"/>
      <c r="K10" s="68"/>
      <c r="L10" s="68"/>
      <c r="M10" s="68"/>
      <c r="N10" s="68"/>
      <c r="O10" s="68"/>
      <c r="P10" s="55"/>
      <c r="R10" s="45"/>
    </row>
    <row r="11" spans="1:20" ht="15.75" customHeight="1" x14ac:dyDescent="0.35">
      <c r="A11" s="44"/>
      <c r="R11" s="45"/>
    </row>
    <row r="12" spans="1:20" ht="15.75" customHeight="1" x14ac:dyDescent="0.35">
      <c r="A12" s="44"/>
      <c r="R12" s="45"/>
    </row>
    <row r="13" spans="1:20" ht="15.75" customHeight="1" x14ac:dyDescent="0.35">
      <c r="A13" s="44"/>
      <c r="R13" s="45"/>
    </row>
    <row r="14" spans="1:20" ht="15.75" customHeight="1" x14ac:dyDescent="0.35">
      <c r="A14" s="44"/>
      <c r="R14" s="45"/>
    </row>
    <row r="15" spans="1:20" ht="15.75" customHeight="1" x14ac:dyDescent="0.35">
      <c r="A15" s="44"/>
      <c r="R15" s="45"/>
    </row>
    <row r="16" spans="1:20" ht="15.75" customHeight="1" x14ac:dyDescent="0.35">
      <c r="A16" s="44"/>
      <c r="R16" s="45"/>
    </row>
    <row r="17" spans="1:18" ht="15.75" customHeight="1" x14ac:dyDescent="0.35">
      <c r="A17" s="44"/>
      <c r="R17" s="45"/>
    </row>
    <row r="18" spans="1:18" ht="15.75" customHeight="1" x14ac:dyDescent="0.35">
      <c r="A18" s="44"/>
      <c r="R18" s="45"/>
    </row>
    <row r="19" spans="1:18" ht="15.75" customHeight="1" x14ac:dyDescent="0.35">
      <c r="A19" s="44"/>
      <c r="R19" s="45"/>
    </row>
    <row r="20" spans="1:18" ht="15.75" customHeight="1" x14ac:dyDescent="0.35">
      <c r="A20" s="44"/>
      <c r="R20" s="45"/>
    </row>
    <row r="21" spans="1:18" ht="15.75" customHeight="1" x14ac:dyDescent="0.35">
      <c r="A21" s="44"/>
      <c r="R21" s="45"/>
    </row>
    <row r="22" spans="1:18" ht="15.75" customHeight="1" x14ac:dyDescent="0.35">
      <c r="A22" s="44"/>
      <c r="R22" s="45"/>
    </row>
    <row r="23" spans="1:18" ht="15.75" customHeight="1" x14ac:dyDescent="0.35">
      <c r="A23" s="44"/>
      <c r="R23" s="45"/>
    </row>
    <row r="24" spans="1:18" ht="15.75" customHeight="1" x14ac:dyDescent="0.35">
      <c r="A24" s="44"/>
      <c r="R24" s="45"/>
    </row>
    <row r="25" spans="1:18" ht="14.5" customHeight="1" x14ac:dyDescent="0.35">
      <c r="A25" s="44"/>
      <c r="J25" s="56" t="s">
        <v>505</v>
      </c>
      <c r="K25" s="57"/>
      <c r="L25" s="57"/>
      <c r="M25" s="57"/>
      <c r="N25" s="57"/>
      <c r="O25" s="57"/>
      <c r="P25" s="57"/>
      <c r="Q25" s="58"/>
      <c r="R25" s="66"/>
    </row>
    <row r="26" spans="1:18" ht="19.5" customHeight="1" x14ac:dyDescent="0.35">
      <c r="A26" s="44"/>
      <c r="B26" s="40"/>
      <c r="D26" s="40"/>
      <c r="E26" s="40"/>
      <c r="F26" s="40"/>
      <c r="G26" s="41"/>
      <c r="H26" s="41"/>
      <c r="I26" s="41"/>
      <c r="J26" s="59"/>
      <c r="K26" s="60"/>
      <c r="L26" s="60"/>
      <c r="M26" s="60"/>
      <c r="N26" s="60"/>
      <c r="O26" s="60"/>
      <c r="P26" s="60"/>
      <c r="Q26" s="61"/>
      <c r="R26" s="66"/>
    </row>
    <row r="27" spans="1:18" ht="19.5" customHeight="1" x14ac:dyDescent="0.35">
      <c r="A27" s="44"/>
      <c r="B27" s="40"/>
      <c r="C27" s="40"/>
      <c r="D27" s="40"/>
      <c r="E27" s="40"/>
      <c r="F27" s="39"/>
      <c r="J27" s="62" t="s">
        <v>506</v>
      </c>
      <c r="K27" s="60"/>
      <c r="L27" s="60"/>
      <c r="M27" s="60"/>
      <c r="N27" s="60"/>
      <c r="O27" s="60"/>
      <c r="P27" s="60"/>
      <c r="Q27" s="61"/>
      <c r="R27" s="66"/>
    </row>
    <row r="28" spans="1:18" ht="19.5" customHeight="1" x14ac:dyDescent="0.35">
      <c r="A28" s="44"/>
      <c r="B28" s="40"/>
      <c r="C28" s="40"/>
      <c r="D28" s="40"/>
      <c r="E28" s="40"/>
      <c r="F28" s="42" t="s">
        <v>13</v>
      </c>
      <c r="G28" s="41"/>
      <c r="H28" s="41"/>
      <c r="I28" s="41"/>
      <c r="J28" s="59"/>
      <c r="K28" s="60"/>
      <c r="L28" s="60"/>
      <c r="M28" s="60"/>
      <c r="N28" s="60"/>
      <c r="O28" s="60"/>
      <c r="P28" s="60"/>
      <c r="Q28" s="61"/>
      <c r="R28" s="66"/>
    </row>
    <row r="29" spans="1:18" ht="19.5" customHeight="1" x14ac:dyDescent="0.35">
      <c r="A29" s="44"/>
      <c r="B29" s="40"/>
      <c r="C29" s="40"/>
      <c r="D29" s="40"/>
      <c r="E29" s="40"/>
      <c r="F29" s="39"/>
      <c r="J29" s="62" t="s">
        <v>507</v>
      </c>
      <c r="K29" s="60"/>
      <c r="L29" s="60"/>
      <c r="M29" s="60"/>
      <c r="N29" s="60"/>
      <c r="O29" s="60"/>
      <c r="P29" s="60"/>
      <c r="Q29" s="61"/>
      <c r="R29" s="66"/>
    </row>
    <row r="30" spans="1:18" ht="19.5" customHeight="1" x14ac:dyDescent="0.35">
      <c r="A30" s="44"/>
      <c r="B30" s="40"/>
      <c r="C30" s="40"/>
      <c r="D30" s="40"/>
      <c r="E30" s="40"/>
      <c r="J30" s="63"/>
      <c r="K30" s="64"/>
      <c r="L30" s="64"/>
      <c r="M30" s="64"/>
      <c r="N30" s="64"/>
      <c r="O30" s="64"/>
      <c r="P30" s="64"/>
      <c r="Q30" s="65"/>
      <c r="R30" s="66"/>
    </row>
    <row r="31" spans="1:18" ht="19.5" customHeight="1" x14ac:dyDescent="0.35">
      <c r="A31" s="44"/>
      <c r="B31" s="40"/>
      <c r="C31" s="40"/>
      <c r="D31" s="40"/>
      <c r="E31" s="40"/>
      <c r="R31" s="45"/>
    </row>
    <row r="32" spans="1:18" ht="19.5" customHeight="1" x14ac:dyDescent="0.35">
      <c r="A32" s="54"/>
      <c r="B32" s="46"/>
      <c r="C32" s="46"/>
      <c r="D32" s="46"/>
      <c r="E32" s="46"/>
      <c r="F32" s="47"/>
      <c r="G32" s="47"/>
      <c r="H32" s="47"/>
      <c r="I32" s="47"/>
      <c r="J32" s="47"/>
      <c r="K32" s="47"/>
      <c r="L32" s="47"/>
      <c r="M32" s="47"/>
      <c r="N32" s="47"/>
      <c r="O32" s="47"/>
      <c r="P32" s="47"/>
      <c r="Q32" s="47"/>
      <c r="R32" s="48"/>
    </row>
  </sheetData>
  <mergeCells count="13">
    <mergeCell ref="B10:H10"/>
    <mergeCell ref="J4:M5"/>
    <mergeCell ref="B1:H1"/>
    <mergeCell ref="N4:Q5"/>
    <mergeCell ref="N1:Q3"/>
    <mergeCell ref="B6:E8"/>
    <mergeCell ref="I10:O10"/>
    <mergeCell ref="N6:Q8"/>
    <mergeCell ref="F6:I8"/>
    <mergeCell ref="B2:H2"/>
    <mergeCell ref="J6:M8"/>
    <mergeCell ref="B4:E5"/>
    <mergeCell ref="F4:I5"/>
  </mergeCells>
  <conditionalFormatting sqref="J25:T30">
    <cfRule type="containsText" dxfId="1" priority="1" operator="containsText" text="Total Revenue: $229,192.47 across 250 orders (Average Order Value: $916.77).">
      <formula>NOT(ISERROR(SEARCH("Total Revenue: $229,192.47 across 250 orders (Average Order Value: $916.77).",J25)))</formula>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8"/>
  <sheetViews>
    <sheetView topLeftCell="A10" zoomScale="75" zoomScaleNormal="100" workbookViewId="0">
      <selection activeCell="E17" sqref="E17"/>
    </sheetView>
  </sheetViews>
  <sheetFormatPr defaultColWidth="8.6328125" defaultRowHeight="14.5" x14ac:dyDescent="0.35"/>
  <cols>
    <col min="1" max="1" width="13.81640625" bestFit="1" customWidth="1"/>
    <col min="2" max="2" width="19.81640625" bestFit="1" customWidth="1"/>
    <col min="4" max="4" width="12.36328125" bestFit="1" customWidth="1"/>
    <col min="5" max="5" width="19.36328125" bestFit="1" customWidth="1"/>
    <col min="12" max="12" width="12.36328125" bestFit="1" customWidth="1"/>
    <col min="13" max="13" width="19.36328125" bestFit="1" customWidth="1"/>
  </cols>
  <sheetData>
    <row r="1" spans="1:6" ht="16.149999999999999" customHeight="1" x14ac:dyDescent="0.35">
      <c r="A1" s="70" t="s">
        <v>495</v>
      </c>
      <c r="B1" s="68"/>
      <c r="C1" s="68"/>
      <c r="D1" s="68"/>
      <c r="E1" s="68"/>
      <c r="F1" s="68"/>
    </row>
    <row r="2" spans="1:6" ht="15" customHeight="1" x14ac:dyDescent="0.35">
      <c r="A2" s="69" t="s">
        <v>496</v>
      </c>
      <c r="B2" s="68"/>
      <c r="C2" s="68"/>
      <c r="D2" s="68"/>
      <c r="E2" s="68"/>
      <c r="F2" s="68"/>
    </row>
    <row r="4" spans="1:6" ht="15" customHeight="1" x14ac:dyDescent="0.35">
      <c r="A4" s="67" t="s">
        <v>497</v>
      </c>
      <c r="B4" s="68"/>
    </row>
    <row r="5" spans="1:6" ht="15" customHeight="1" x14ac:dyDescent="0.35">
      <c r="A5" s="14" t="s">
        <v>498</v>
      </c>
      <c r="B5" s="37">
        <f>SUM(tblClean[Total_Amount])</f>
        <v>229192.47000000032</v>
      </c>
    </row>
    <row r="6" spans="1:6" ht="15" customHeight="1" x14ac:dyDescent="0.35">
      <c r="A6" s="14" t="s">
        <v>499</v>
      </c>
      <c r="B6" s="38">
        <f>COUNTA(tblClean[Transaction_ID])</f>
        <v>250</v>
      </c>
    </row>
    <row r="7" spans="1:6" ht="15" customHeight="1" x14ac:dyDescent="0.35">
      <c r="A7" s="14" t="s">
        <v>500</v>
      </c>
      <c r="B7" s="38">
        <f>SUMPRODUCT(1/COUNTIF(tblClean[Customer_ID],tblClean[Customer_ID]))</f>
        <v>50.000000000000028</v>
      </c>
    </row>
    <row r="8" spans="1:6" ht="15" customHeight="1" x14ac:dyDescent="0.35">
      <c r="A8" s="14" t="s">
        <v>501</v>
      </c>
      <c r="B8" s="37">
        <f>B5/B6</f>
        <v>916.76988000000131</v>
      </c>
    </row>
    <row r="10" spans="1:6" ht="15" customHeight="1" x14ac:dyDescent="0.35">
      <c r="A10" s="67" t="s">
        <v>502</v>
      </c>
      <c r="B10" s="68"/>
    </row>
    <row r="11" spans="1:6" ht="15" customHeight="1" x14ac:dyDescent="0.35">
      <c r="A11" s="34" t="s">
        <v>504</v>
      </c>
      <c r="B11" s="13" t="s">
        <v>474</v>
      </c>
    </row>
    <row r="12" spans="1:6" ht="15" customHeight="1" x14ac:dyDescent="0.35">
      <c r="A12" s="35" t="s">
        <v>47</v>
      </c>
      <c r="B12" s="36">
        <v>5219.1299999999974</v>
      </c>
    </row>
    <row r="13" spans="1:6" ht="15" customHeight="1" x14ac:dyDescent="0.35">
      <c r="A13" s="35" t="s">
        <v>56</v>
      </c>
      <c r="B13" s="36">
        <v>15298.979999999994</v>
      </c>
    </row>
    <row r="14" spans="1:6" ht="15" customHeight="1" x14ac:dyDescent="0.35">
      <c r="A14" s="35" t="s">
        <v>123</v>
      </c>
      <c r="B14" s="36">
        <v>3119.6099999999992</v>
      </c>
    </row>
    <row r="15" spans="1:6" ht="15" customHeight="1" x14ac:dyDescent="0.35">
      <c r="A15" s="35" t="s">
        <v>114</v>
      </c>
      <c r="B15" s="36">
        <v>23399.22</v>
      </c>
    </row>
    <row r="16" spans="1:6" ht="15" customHeight="1" x14ac:dyDescent="0.35">
      <c r="A16" s="35" t="s">
        <v>62</v>
      </c>
      <c r="B16" s="36">
        <v>7049.5299999999988</v>
      </c>
    </row>
    <row r="17" spans="1:2" ht="15" customHeight="1" x14ac:dyDescent="0.35">
      <c r="A17" s="35" t="s">
        <v>126</v>
      </c>
      <c r="B17" s="36">
        <v>8009.1099999999969</v>
      </c>
    </row>
    <row r="18" spans="1:2" ht="15" customHeight="1" x14ac:dyDescent="0.35">
      <c r="A18" s="35" t="s">
        <v>71</v>
      </c>
      <c r="B18" s="36">
        <v>67499.25</v>
      </c>
    </row>
    <row r="19" spans="1:2" ht="15" customHeight="1" x14ac:dyDescent="0.35">
      <c r="A19" s="35" t="s">
        <v>37</v>
      </c>
      <c r="B19" s="36">
        <v>21999.119999999999</v>
      </c>
    </row>
    <row r="20" spans="1:2" ht="15" customHeight="1" x14ac:dyDescent="0.35">
      <c r="A20" s="35" t="s">
        <v>135</v>
      </c>
      <c r="B20" s="36">
        <v>10399.479999999998</v>
      </c>
    </row>
    <row r="21" spans="1:2" ht="15" customHeight="1" x14ac:dyDescent="0.35">
      <c r="A21" s="35" t="s">
        <v>89</v>
      </c>
      <c r="B21" s="36">
        <v>67199.039999999994</v>
      </c>
    </row>
    <row r="22" spans="1:2" x14ac:dyDescent="0.35">
      <c r="A22" s="35" t="s">
        <v>475</v>
      </c>
      <c r="B22" s="36">
        <v>229192.46999999997</v>
      </c>
    </row>
    <row r="23" spans="1:2" ht="15" customHeight="1" x14ac:dyDescent="0.35">
      <c r="A23" s="67" t="s">
        <v>503</v>
      </c>
      <c r="B23" s="68"/>
    </row>
    <row r="24" spans="1:2" ht="15" customHeight="1" x14ac:dyDescent="0.35">
      <c r="A24" s="34" t="s">
        <v>504</v>
      </c>
      <c r="B24" s="13" t="s">
        <v>474</v>
      </c>
    </row>
    <row r="25" spans="1:2" ht="15" customHeight="1" x14ac:dyDescent="0.35">
      <c r="A25" s="35" t="s">
        <v>10</v>
      </c>
      <c r="B25" s="36">
        <v>62177.810000000019</v>
      </c>
    </row>
    <row r="26" spans="1:2" ht="15" customHeight="1" x14ac:dyDescent="0.35">
      <c r="A26" s="35" t="s">
        <v>17</v>
      </c>
      <c r="B26" s="36">
        <v>84657.12000000001</v>
      </c>
    </row>
    <row r="27" spans="1:2" ht="15" customHeight="1" x14ac:dyDescent="0.35">
      <c r="A27" s="35" t="s">
        <v>14</v>
      </c>
      <c r="B27" s="36">
        <v>82357.540000000037</v>
      </c>
    </row>
    <row r="28" spans="1:2" x14ac:dyDescent="0.35">
      <c r="A28" s="35" t="s">
        <v>475</v>
      </c>
      <c r="B28" s="36">
        <v>229192.47000000006</v>
      </c>
    </row>
  </sheetData>
  <mergeCells count="5">
    <mergeCell ref="A4:B4"/>
    <mergeCell ref="A2:F2"/>
    <mergeCell ref="A1:F1"/>
    <mergeCell ref="A10:B10"/>
    <mergeCell ref="A23:B2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N251"/>
  <sheetViews>
    <sheetView topLeftCell="E1" zoomScaleNormal="100" workbookViewId="0">
      <pane ySplit="1" topLeftCell="A2" activePane="bottomLeft" state="frozen"/>
      <selection activeCell="E1" sqref="E1"/>
      <selection pane="bottomLeft" activeCell="P4" sqref="P4"/>
    </sheetView>
  </sheetViews>
  <sheetFormatPr defaultColWidth="8.6328125" defaultRowHeight="14.5" x14ac:dyDescent="0.35"/>
  <cols>
    <col min="1" max="1" width="14" customWidth="1"/>
    <col min="2" max="3" width="12" customWidth="1"/>
    <col min="4" max="4" width="18" customWidth="1"/>
    <col min="5" max="5" width="11" customWidth="1"/>
    <col min="6" max="6" width="14" customWidth="1"/>
    <col min="7" max="7" width="12" customWidth="1"/>
    <col min="8" max="8" width="10" customWidth="1"/>
    <col min="9" max="9" width="12" customWidth="1"/>
    <col min="10" max="10" width="14" customWidth="1"/>
    <col min="11" max="11" width="10" customWidth="1"/>
    <col min="12" max="12" width="16" customWidth="1"/>
    <col min="13" max="13" width="14" customWidth="1"/>
    <col min="14" max="14" width="13" customWidth="1"/>
  </cols>
  <sheetData>
    <row r="1" spans="1:14" ht="15" customHeight="1" x14ac:dyDescent="0.35">
      <c r="A1" s="1" t="s">
        <v>20</v>
      </c>
      <c r="B1" s="1" t="s">
        <v>11</v>
      </c>
      <c r="C1" s="1" t="s">
        <v>21</v>
      </c>
      <c r="D1" s="1" t="s">
        <v>22</v>
      </c>
      <c r="E1" s="1" t="s">
        <v>23</v>
      </c>
      <c r="F1" s="1" t="s">
        <v>24</v>
      </c>
      <c r="G1" s="1" t="s">
        <v>25</v>
      </c>
      <c r="H1" s="1" t="s">
        <v>26</v>
      </c>
      <c r="I1" s="1" t="s">
        <v>27</v>
      </c>
      <c r="J1" s="1" t="s">
        <v>28</v>
      </c>
      <c r="K1" s="1" t="s">
        <v>29</v>
      </c>
      <c r="L1" s="1" t="s">
        <v>30</v>
      </c>
      <c r="M1" s="1" t="s">
        <v>31</v>
      </c>
      <c r="N1" s="1" t="s">
        <v>32</v>
      </c>
    </row>
    <row r="2" spans="1:14" ht="15" customHeight="1" x14ac:dyDescent="0.35">
      <c r="A2" s="2" t="s">
        <v>33</v>
      </c>
      <c r="B2" s="3">
        <v>45393</v>
      </c>
      <c r="C2" s="2" t="s">
        <v>34</v>
      </c>
      <c r="D2" s="2" t="s">
        <v>35</v>
      </c>
      <c r="E2" s="2" t="s">
        <v>36</v>
      </c>
      <c r="F2" s="2" t="s">
        <v>37</v>
      </c>
      <c r="G2" s="2" t="s">
        <v>13</v>
      </c>
      <c r="H2" s="2">
        <v>3</v>
      </c>
      <c r="I2" s="4">
        <v>249.99</v>
      </c>
      <c r="J2" s="2" t="s">
        <v>38</v>
      </c>
      <c r="K2" s="2" t="s">
        <v>8</v>
      </c>
      <c r="L2" s="2" t="s">
        <v>10</v>
      </c>
      <c r="M2" s="3">
        <v>44425</v>
      </c>
      <c r="N2" s="4">
        <v>749.97</v>
      </c>
    </row>
    <row r="3" spans="1:14" ht="15" customHeight="1" x14ac:dyDescent="0.35">
      <c r="A3" s="2" t="s">
        <v>39</v>
      </c>
      <c r="B3" s="3">
        <v>45396</v>
      </c>
      <c r="C3" s="2" t="s">
        <v>40</v>
      </c>
      <c r="D3" s="2" t="s">
        <v>41</v>
      </c>
      <c r="E3" s="2" t="s">
        <v>36</v>
      </c>
      <c r="F3" s="2" t="s">
        <v>37</v>
      </c>
      <c r="G3" s="2" t="s">
        <v>13</v>
      </c>
      <c r="H3" s="2">
        <v>3</v>
      </c>
      <c r="I3" s="4">
        <v>249.99</v>
      </c>
      <c r="J3" s="2" t="s">
        <v>42</v>
      </c>
      <c r="K3" s="2" t="s">
        <v>8</v>
      </c>
      <c r="L3" s="2" t="s">
        <v>17</v>
      </c>
      <c r="M3" s="3">
        <v>44575</v>
      </c>
      <c r="N3" s="4">
        <v>749.97</v>
      </c>
    </row>
    <row r="4" spans="1:14" ht="15" customHeight="1" x14ac:dyDescent="0.35">
      <c r="A4" s="2" t="s">
        <v>43</v>
      </c>
      <c r="B4" s="3">
        <v>45399</v>
      </c>
      <c r="C4" s="2" t="s">
        <v>44</v>
      </c>
      <c r="D4" s="2" t="s">
        <v>45</v>
      </c>
      <c r="E4" s="2" t="s">
        <v>46</v>
      </c>
      <c r="F4" s="2" t="s">
        <v>47</v>
      </c>
      <c r="G4" s="2" t="s">
        <v>9</v>
      </c>
      <c r="H4" s="2">
        <v>3</v>
      </c>
      <c r="I4" s="4">
        <v>59.99</v>
      </c>
      <c r="J4" s="2" t="s">
        <v>48</v>
      </c>
      <c r="K4" s="2" t="s">
        <v>18</v>
      </c>
      <c r="L4" s="2" t="s">
        <v>14</v>
      </c>
      <c r="M4" s="3">
        <v>45262</v>
      </c>
      <c r="N4" s="4">
        <v>179.97</v>
      </c>
    </row>
    <row r="5" spans="1:14" ht="15" customHeight="1" x14ac:dyDescent="0.35">
      <c r="A5" s="2" t="s">
        <v>49</v>
      </c>
      <c r="B5" s="3">
        <v>45400</v>
      </c>
      <c r="C5" s="2" t="s">
        <v>50</v>
      </c>
      <c r="D5" s="2" t="s">
        <v>51</v>
      </c>
      <c r="E5" s="2" t="s">
        <v>46</v>
      </c>
      <c r="F5" s="2" t="s">
        <v>47</v>
      </c>
      <c r="G5" s="2" t="s">
        <v>9</v>
      </c>
      <c r="H5" s="2">
        <v>3</v>
      </c>
      <c r="I5" s="4">
        <v>59.99</v>
      </c>
      <c r="J5" s="2" t="s">
        <v>38</v>
      </c>
      <c r="K5" s="2" t="s">
        <v>15</v>
      </c>
      <c r="L5" s="2" t="s">
        <v>17</v>
      </c>
      <c r="M5" s="3">
        <v>45114</v>
      </c>
      <c r="N5" s="4">
        <v>179.97</v>
      </c>
    </row>
    <row r="6" spans="1:14" ht="15" customHeight="1" x14ac:dyDescent="0.35">
      <c r="A6" s="2" t="s">
        <v>52</v>
      </c>
      <c r="B6" s="3">
        <v>45400</v>
      </c>
      <c r="C6" s="2" t="s">
        <v>53</v>
      </c>
      <c r="D6" s="2" t="s">
        <v>54</v>
      </c>
      <c r="E6" s="2" t="s">
        <v>55</v>
      </c>
      <c r="F6" s="2" t="s">
        <v>56</v>
      </c>
      <c r="G6" s="2" t="s">
        <v>16</v>
      </c>
      <c r="H6" s="2">
        <v>5</v>
      </c>
      <c r="I6" s="4">
        <v>149.99</v>
      </c>
      <c r="J6" s="2" t="s">
        <v>42</v>
      </c>
      <c r="K6" s="2" t="s">
        <v>15</v>
      </c>
      <c r="L6" s="2" t="s">
        <v>17</v>
      </c>
      <c r="M6" s="3">
        <v>45295</v>
      </c>
      <c r="N6" s="4">
        <v>749.95</v>
      </c>
    </row>
    <row r="7" spans="1:14" ht="15" customHeight="1" x14ac:dyDescent="0.35">
      <c r="A7" s="2" t="s">
        <v>57</v>
      </c>
      <c r="B7" s="3">
        <v>45403</v>
      </c>
      <c r="C7" s="2" t="s">
        <v>58</v>
      </c>
      <c r="D7" s="2" t="s">
        <v>59</v>
      </c>
      <c r="E7" s="2" t="s">
        <v>46</v>
      </c>
      <c r="F7" s="2" t="s">
        <v>47</v>
      </c>
      <c r="G7" s="2" t="s">
        <v>9</v>
      </c>
      <c r="H7" s="2">
        <v>2</v>
      </c>
      <c r="I7" s="4">
        <v>59.99</v>
      </c>
      <c r="J7" s="2" t="s">
        <v>38</v>
      </c>
      <c r="K7" s="2" t="s">
        <v>19</v>
      </c>
      <c r="L7" s="2" t="s">
        <v>14</v>
      </c>
      <c r="M7" s="3">
        <v>44746</v>
      </c>
      <c r="N7" s="4">
        <v>119.98</v>
      </c>
    </row>
    <row r="8" spans="1:14" ht="15" customHeight="1" x14ac:dyDescent="0.35">
      <c r="A8" s="2" t="s">
        <v>60</v>
      </c>
      <c r="B8" s="3">
        <v>45403</v>
      </c>
      <c r="C8" s="2" t="s">
        <v>58</v>
      </c>
      <c r="D8" s="2" t="s">
        <v>59</v>
      </c>
      <c r="E8" s="2" t="s">
        <v>61</v>
      </c>
      <c r="F8" s="2" t="s">
        <v>62</v>
      </c>
      <c r="G8" s="2" t="s">
        <v>13</v>
      </c>
      <c r="H8" s="2">
        <v>5</v>
      </c>
      <c r="I8" s="4">
        <v>149.99</v>
      </c>
      <c r="J8" s="2" t="s">
        <v>42</v>
      </c>
      <c r="K8" s="2" t="s">
        <v>8</v>
      </c>
      <c r="L8" s="2" t="s">
        <v>14</v>
      </c>
      <c r="M8" s="3">
        <v>44418</v>
      </c>
      <c r="N8" s="4">
        <v>749.95</v>
      </c>
    </row>
    <row r="9" spans="1:14" ht="15" customHeight="1" x14ac:dyDescent="0.35">
      <c r="A9" s="2" t="s">
        <v>63</v>
      </c>
      <c r="B9" s="3">
        <v>45403</v>
      </c>
      <c r="C9" s="2" t="s">
        <v>64</v>
      </c>
      <c r="D9" s="2" t="s">
        <v>65</v>
      </c>
      <c r="E9" s="2" t="s">
        <v>46</v>
      </c>
      <c r="F9" s="2" t="s">
        <v>47</v>
      </c>
      <c r="G9" s="2" t="s">
        <v>9</v>
      </c>
      <c r="H9" s="2">
        <v>3</v>
      </c>
      <c r="I9" s="4">
        <v>59.99</v>
      </c>
      <c r="J9" s="2" t="s">
        <v>66</v>
      </c>
      <c r="K9" s="2" t="s">
        <v>18</v>
      </c>
      <c r="L9" s="2" t="s">
        <v>10</v>
      </c>
      <c r="M9" s="3">
        <v>45007</v>
      </c>
      <c r="N9" s="4">
        <v>179.97</v>
      </c>
    </row>
    <row r="10" spans="1:14" ht="15" customHeight="1" x14ac:dyDescent="0.35">
      <c r="A10" s="2" t="s">
        <v>67</v>
      </c>
      <c r="B10" s="3">
        <v>45405</v>
      </c>
      <c r="C10" s="2" t="s">
        <v>68</v>
      </c>
      <c r="D10" s="2" t="s">
        <v>69</v>
      </c>
      <c r="E10" s="2" t="s">
        <v>70</v>
      </c>
      <c r="F10" s="2" t="s">
        <v>71</v>
      </c>
      <c r="G10" s="2" t="s">
        <v>13</v>
      </c>
      <c r="H10" s="2">
        <v>3</v>
      </c>
      <c r="I10" s="4">
        <v>899.99</v>
      </c>
      <c r="J10" s="2" t="s">
        <v>48</v>
      </c>
      <c r="K10" s="2" t="s">
        <v>12</v>
      </c>
      <c r="L10" s="2" t="s">
        <v>14</v>
      </c>
      <c r="M10" s="3">
        <v>45299</v>
      </c>
      <c r="N10" s="4">
        <v>2699.97</v>
      </c>
    </row>
    <row r="11" spans="1:14" ht="15" customHeight="1" x14ac:dyDescent="0.35">
      <c r="A11" s="2" t="s">
        <v>72</v>
      </c>
      <c r="B11" s="3">
        <v>45408</v>
      </c>
      <c r="C11" s="2" t="s">
        <v>73</v>
      </c>
      <c r="D11" s="2" t="s">
        <v>74</v>
      </c>
      <c r="E11" s="2" t="s">
        <v>46</v>
      </c>
      <c r="F11" s="2" t="s">
        <v>47</v>
      </c>
      <c r="G11" s="2" t="s">
        <v>9</v>
      </c>
      <c r="H11" s="2">
        <v>3</v>
      </c>
      <c r="I11" s="4">
        <v>59.99</v>
      </c>
      <c r="J11" s="2" t="s">
        <v>38</v>
      </c>
      <c r="K11" s="2" t="s">
        <v>19</v>
      </c>
      <c r="L11" s="2" t="s">
        <v>17</v>
      </c>
      <c r="M11" s="3">
        <v>45207</v>
      </c>
      <c r="N11" s="4">
        <v>179.97</v>
      </c>
    </row>
    <row r="12" spans="1:14" ht="15" customHeight="1" x14ac:dyDescent="0.35">
      <c r="A12" s="2" t="s">
        <v>75</v>
      </c>
      <c r="B12" s="3">
        <v>45408</v>
      </c>
      <c r="C12" s="2" t="s">
        <v>76</v>
      </c>
      <c r="D12" s="2" t="s">
        <v>77</v>
      </c>
      <c r="E12" s="2" t="s">
        <v>55</v>
      </c>
      <c r="F12" s="2" t="s">
        <v>56</v>
      </c>
      <c r="G12" s="2" t="s">
        <v>16</v>
      </c>
      <c r="H12" s="2">
        <v>1</v>
      </c>
      <c r="I12" s="4">
        <v>149.99</v>
      </c>
      <c r="J12" s="2" t="s">
        <v>42</v>
      </c>
      <c r="K12" s="2" t="s">
        <v>19</v>
      </c>
      <c r="L12" s="2" t="s">
        <v>14</v>
      </c>
      <c r="M12" s="3">
        <v>45103</v>
      </c>
      <c r="N12" s="4">
        <v>149.99</v>
      </c>
    </row>
    <row r="13" spans="1:14" ht="15" customHeight="1" x14ac:dyDescent="0.35">
      <c r="A13" s="2" t="s">
        <v>78</v>
      </c>
      <c r="B13" s="3">
        <v>45408</v>
      </c>
      <c r="C13" s="2" t="s">
        <v>50</v>
      </c>
      <c r="D13" s="2" t="s">
        <v>51</v>
      </c>
      <c r="E13" s="2" t="s">
        <v>55</v>
      </c>
      <c r="F13" s="2" t="s">
        <v>56</v>
      </c>
      <c r="G13" s="2" t="s">
        <v>16</v>
      </c>
      <c r="H13" s="2">
        <v>5</v>
      </c>
      <c r="I13" s="4">
        <v>149.99</v>
      </c>
      <c r="J13" s="2" t="s">
        <v>66</v>
      </c>
      <c r="K13" s="2" t="s">
        <v>15</v>
      </c>
      <c r="L13" s="2" t="s">
        <v>10</v>
      </c>
      <c r="M13" s="3">
        <v>44830</v>
      </c>
      <c r="N13" s="4">
        <v>749.95</v>
      </c>
    </row>
    <row r="14" spans="1:14" ht="15" customHeight="1" x14ac:dyDescent="0.35">
      <c r="A14" s="2" t="s">
        <v>79</v>
      </c>
      <c r="B14" s="3">
        <v>45408</v>
      </c>
      <c r="C14" s="2" t="s">
        <v>80</v>
      </c>
      <c r="D14" s="2" t="s">
        <v>81</v>
      </c>
      <c r="E14" s="2" t="s">
        <v>55</v>
      </c>
      <c r="F14" s="2" t="s">
        <v>56</v>
      </c>
      <c r="G14" s="2" t="s">
        <v>16</v>
      </c>
      <c r="H14" s="2">
        <v>3</v>
      </c>
      <c r="I14" s="4">
        <v>149.99</v>
      </c>
      <c r="J14" s="2" t="s">
        <v>38</v>
      </c>
      <c r="K14" s="2" t="s">
        <v>15</v>
      </c>
      <c r="L14" s="2" t="s">
        <v>17</v>
      </c>
      <c r="M14" s="3">
        <v>44806</v>
      </c>
      <c r="N14" s="4">
        <v>449.97</v>
      </c>
    </row>
    <row r="15" spans="1:14" ht="15" customHeight="1" x14ac:dyDescent="0.35">
      <c r="A15" s="2" t="s">
        <v>82</v>
      </c>
      <c r="B15" s="3">
        <v>45409</v>
      </c>
      <c r="C15" s="2" t="s">
        <v>83</v>
      </c>
      <c r="D15" s="2" t="s">
        <v>84</v>
      </c>
      <c r="E15" s="2" t="s">
        <v>46</v>
      </c>
      <c r="F15" s="2" t="s">
        <v>47</v>
      </c>
      <c r="G15" s="2" t="s">
        <v>9</v>
      </c>
      <c r="H15" s="2">
        <v>3</v>
      </c>
      <c r="I15" s="4">
        <v>59.99</v>
      </c>
      <c r="J15" s="2" t="s">
        <v>42</v>
      </c>
      <c r="K15" s="2" t="s">
        <v>15</v>
      </c>
      <c r="L15" s="2" t="s">
        <v>14</v>
      </c>
      <c r="M15" s="3">
        <v>45351</v>
      </c>
      <c r="N15" s="4">
        <v>179.97</v>
      </c>
    </row>
    <row r="16" spans="1:14" ht="15" customHeight="1" x14ac:dyDescent="0.35">
      <c r="A16" s="2" t="s">
        <v>85</v>
      </c>
      <c r="B16" s="3">
        <v>45409</v>
      </c>
      <c r="C16" s="2" t="s">
        <v>86</v>
      </c>
      <c r="D16" s="2" t="s">
        <v>87</v>
      </c>
      <c r="E16" s="2" t="s">
        <v>88</v>
      </c>
      <c r="F16" s="2" t="s">
        <v>89</v>
      </c>
      <c r="G16" s="2" t="s">
        <v>13</v>
      </c>
      <c r="H16" s="2">
        <v>3</v>
      </c>
      <c r="I16" s="4">
        <v>699.99</v>
      </c>
      <c r="J16" s="2" t="s">
        <v>42</v>
      </c>
      <c r="K16" s="2" t="s">
        <v>19</v>
      </c>
      <c r="L16" s="2" t="s">
        <v>10</v>
      </c>
      <c r="M16" s="3">
        <v>44577</v>
      </c>
      <c r="N16" s="4">
        <v>2099.9699999999998</v>
      </c>
    </row>
    <row r="17" spans="1:14" ht="15" customHeight="1" x14ac:dyDescent="0.35">
      <c r="A17" s="2" t="s">
        <v>90</v>
      </c>
      <c r="B17" s="3">
        <v>45409</v>
      </c>
      <c r="C17" s="2" t="s">
        <v>91</v>
      </c>
      <c r="D17" s="2" t="s">
        <v>92</v>
      </c>
      <c r="E17" s="2" t="s">
        <v>70</v>
      </c>
      <c r="F17" s="2" t="s">
        <v>71</v>
      </c>
      <c r="G17" s="2" t="s">
        <v>13</v>
      </c>
      <c r="H17" s="2">
        <v>1</v>
      </c>
      <c r="I17" s="4">
        <v>899.99</v>
      </c>
      <c r="J17" s="2" t="s">
        <v>66</v>
      </c>
      <c r="K17" s="2" t="s">
        <v>15</v>
      </c>
      <c r="L17" s="2" t="s">
        <v>14</v>
      </c>
      <c r="M17" s="3">
        <v>44920</v>
      </c>
      <c r="N17" s="4">
        <v>899.99</v>
      </c>
    </row>
    <row r="18" spans="1:14" ht="15" customHeight="1" x14ac:dyDescent="0.35">
      <c r="A18" s="2" t="s">
        <v>93</v>
      </c>
      <c r="B18" s="3">
        <v>45410</v>
      </c>
      <c r="C18" s="2" t="s">
        <v>94</v>
      </c>
      <c r="D18" s="2" t="s">
        <v>95</v>
      </c>
      <c r="E18" s="2" t="s">
        <v>55</v>
      </c>
      <c r="F18" s="2" t="s">
        <v>56</v>
      </c>
      <c r="G18" s="2" t="s">
        <v>16</v>
      </c>
      <c r="H18" s="2">
        <v>4</v>
      </c>
      <c r="I18" s="4">
        <v>149.99</v>
      </c>
      <c r="J18" s="2" t="s">
        <v>66</v>
      </c>
      <c r="K18" s="2" t="s">
        <v>15</v>
      </c>
      <c r="L18" s="2" t="s">
        <v>17</v>
      </c>
      <c r="M18" s="3">
        <v>45374</v>
      </c>
      <c r="N18" s="4">
        <v>599.96</v>
      </c>
    </row>
    <row r="19" spans="1:14" ht="15" customHeight="1" x14ac:dyDescent="0.35">
      <c r="A19" s="2" t="s">
        <v>96</v>
      </c>
      <c r="B19" s="3">
        <v>45410</v>
      </c>
      <c r="C19" s="2" t="s">
        <v>97</v>
      </c>
      <c r="D19" s="2" t="s">
        <v>98</v>
      </c>
      <c r="E19" s="2" t="s">
        <v>88</v>
      </c>
      <c r="F19" s="2" t="s">
        <v>89</v>
      </c>
      <c r="G19" s="2" t="s">
        <v>13</v>
      </c>
      <c r="H19" s="2">
        <v>2</v>
      </c>
      <c r="I19" s="4">
        <v>699.99</v>
      </c>
      <c r="J19" s="2" t="s">
        <v>38</v>
      </c>
      <c r="K19" s="2" t="s">
        <v>15</v>
      </c>
      <c r="L19" s="2" t="s">
        <v>10</v>
      </c>
      <c r="M19" s="3">
        <v>44781</v>
      </c>
      <c r="N19" s="4">
        <v>1399.98</v>
      </c>
    </row>
    <row r="20" spans="1:14" ht="15" customHeight="1" x14ac:dyDescent="0.35">
      <c r="A20" s="2" t="s">
        <v>99</v>
      </c>
      <c r="B20" s="3">
        <v>45410</v>
      </c>
      <c r="C20" s="2" t="s">
        <v>94</v>
      </c>
      <c r="D20" s="2" t="s">
        <v>95</v>
      </c>
      <c r="E20" s="2" t="s">
        <v>70</v>
      </c>
      <c r="F20" s="2" t="s">
        <v>71</v>
      </c>
      <c r="G20" s="2" t="s">
        <v>13</v>
      </c>
      <c r="H20" s="2">
        <v>4</v>
      </c>
      <c r="I20" s="4">
        <v>899.99</v>
      </c>
      <c r="J20" s="2" t="s">
        <v>42</v>
      </c>
      <c r="K20" s="2" t="s">
        <v>19</v>
      </c>
      <c r="L20" s="2" t="s">
        <v>14</v>
      </c>
      <c r="M20" s="3">
        <v>45327</v>
      </c>
      <c r="N20" s="4">
        <v>3599.96</v>
      </c>
    </row>
    <row r="21" spans="1:14" ht="15" customHeight="1" x14ac:dyDescent="0.35">
      <c r="A21" s="2" t="s">
        <v>100</v>
      </c>
      <c r="B21" s="3">
        <v>45410</v>
      </c>
      <c r="C21" s="2" t="s">
        <v>101</v>
      </c>
      <c r="D21" s="2" t="s">
        <v>102</v>
      </c>
      <c r="E21" s="2" t="s">
        <v>36</v>
      </c>
      <c r="F21" s="2" t="s">
        <v>37</v>
      </c>
      <c r="G21" s="2" t="s">
        <v>13</v>
      </c>
      <c r="H21" s="2">
        <v>3</v>
      </c>
      <c r="I21" s="4">
        <v>249.99</v>
      </c>
      <c r="J21" s="2" t="s">
        <v>42</v>
      </c>
      <c r="K21" s="2" t="s">
        <v>15</v>
      </c>
      <c r="L21" s="2" t="s">
        <v>17</v>
      </c>
      <c r="M21" s="3">
        <v>45224</v>
      </c>
      <c r="N21" s="4">
        <v>749.97</v>
      </c>
    </row>
    <row r="22" spans="1:14" ht="15" customHeight="1" x14ac:dyDescent="0.35">
      <c r="A22" s="2" t="s">
        <v>103</v>
      </c>
      <c r="B22" s="3">
        <v>45412</v>
      </c>
      <c r="C22" s="2" t="s">
        <v>104</v>
      </c>
      <c r="D22" s="2" t="s">
        <v>105</v>
      </c>
      <c r="E22" s="2" t="s">
        <v>88</v>
      </c>
      <c r="F22" s="2" t="s">
        <v>89</v>
      </c>
      <c r="G22" s="2" t="s">
        <v>13</v>
      </c>
      <c r="H22" s="2">
        <v>5</v>
      </c>
      <c r="I22" s="4">
        <v>699.99</v>
      </c>
      <c r="J22" s="2" t="s">
        <v>38</v>
      </c>
      <c r="K22" s="2" t="s">
        <v>19</v>
      </c>
      <c r="L22" s="2" t="s">
        <v>10</v>
      </c>
      <c r="M22" s="3">
        <v>45167</v>
      </c>
      <c r="N22" s="4">
        <v>3499.95</v>
      </c>
    </row>
    <row r="23" spans="1:14" ht="15" customHeight="1" x14ac:dyDescent="0.35">
      <c r="A23" s="2" t="s">
        <v>106</v>
      </c>
      <c r="B23" s="3">
        <v>45413</v>
      </c>
      <c r="C23" s="2" t="s">
        <v>107</v>
      </c>
      <c r="D23" s="2" t="s">
        <v>108</v>
      </c>
      <c r="E23" s="2" t="s">
        <v>88</v>
      </c>
      <c r="F23" s="2" t="s">
        <v>89</v>
      </c>
      <c r="G23" s="2" t="s">
        <v>13</v>
      </c>
      <c r="H23" s="2">
        <v>4</v>
      </c>
      <c r="I23" s="4">
        <v>699.99</v>
      </c>
      <c r="J23" s="2" t="s">
        <v>38</v>
      </c>
      <c r="K23" s="2" t="s">
        <v>12</v>
      </c>
      <c r="L23" s="2" t="s">
        <v>14</v>
      </c>
      <c r="M23" s="3">
        <v>44409</v>
      </c>
      <c r="N23" s="4">
        <v>2799.96</v>
      </c>
    </row>
    <row r="24" spans="1:14" ht="15" customHeight="1" x14ac:dyDescent="0.35">
      <c r="A24" s="2" t="s">
        <v>109</v>
      </c>
      <c r="B24" s="3">
        <v>45415</v>
      </c>
      <c r="C24" s="2" t="s">
        <v>110</v>
      </c>
      <c r="D24" s="2" t="s">
        <v>111</v>
      </c>
      <c r="E24" s="2" t="s">
        <v>36</v>
      </c>
      <c r="F24" s="2" t="s">
        <v>37</v>
      </c>
      <c r="G24" s="2" t="s">
        <v>13</v>
      </c>
      <c r="H24" s="2">
        <v>4</v>
      </c>
      <c r="I24" s="4">
        <v>249.99</v>
      </c>
      <c r="J24" s="2" t="s">
        <v>48</v>
      </c>
      <c r="K24" s="2" t="s">
        <v>15</v>
      </c>
      <c r="L24" s="2" t="s">
        <v>14</v>
      </c>
      <c r="M24" s="3">
        <v>44468</v>
      </c>
      <c r="N24" s="4">
        <v>999.96</v>
      </c>
    </row>
    <row r="25" spans="1:14" ht="15" customHeight="1" x14ac:dyDescent="0.35">
      <c r="A25" s="2" t="s">
        <v>112</v>
      </c>
      <c r="B25" s="3">
        <v>45416</v>
      </c>
      <c r="C25" s="2" t="s">
        <v>94</v>
      </c>
      <c r="D25" s="2" t="s">
        <v>95</v>
      </c>
      <c r="E25" s="2" t="s">
        <v>113</v>
      </c>
      <c r="F25" s="2" t="s">
        <v>114</v>
      </c>
      <c r="G25" s="2" t="s">
        <v>16</v>
      </c>
      <c r="H25" s="2">
        <v>4</v>
      </c>
      <c r="I25" s="4">
        <v>299.99</v>
      </c>
      <c r="J25" s="2" t="s">
        <v>38</v>
      </c>
      <c r="K25" s="2" t="s">
        <v>19</v>
      </c>
      <c r="L25" s="2" t="s">
        <v>17</v>
      </c>
      <c r="M25" s="3">
        <v>44716</v>
      </c>
      <c r="N25" s="4">
        <v>1199.96</v>
      </c>
    </row>
    <row r="26" spans="1:14" ht="15" customHeight="1" x14ac:dyDescent="0.35">
      <c r="A26" s="2" t="s">
        <v>115</v>
      </c>
      <c r="B26" s="3">
        <v>45422</v>
      </c>
      <c r="C26" s="2" t="s">
        <v>116</v>
      </c>
      <c r="D26" s="2" t="s">
        <v>117</v>
      </c>
      <c r="E26" s="2" t="s">
        <v>36</v>
      </c>
      <c r="F26" s="2" t="s">
        <v>37</v>
      </c>
      <c r="G26" s="2" t="s">
        <v>13</v>
      </c>
      <c r="H26" s="2">
        <v>5</v>
      </c>
      <c r="I26" s="4">
        <v>249.99</v>
      </c>
      <c r="J26" s="2" t="s">
        <v>42</v>
      </c>
      <c r="K26" s="2" t="s">
        <v>19</v>
      </c>
      <c r="L26" s="2" t="s">
        <v>14</v>
      </c>
      <c r="M26" s="3">
        <v>44525</v>
      </c>
      <c r="N26" s="4">
        <v>1249.95</v>
      </c>
    </row>
    <row r="27" spans="1:14" ht="15" customHeight="1" x14ac:dyDescent="0.35">
      <c r="A27" s="2" t="s">
        <v>118</v>
      </c>
      <c r="B27" s="3">
        <v>45424</v>
      </c>
      <c r="C27" s="2" t="s">
        <v>76</v>
      </c>
      <c r="D27" s="2" t="s">
        <v>77</v>
      </c>
      <c r="E27" s="2" t="s">
        <v>113</v>
      </c>
      <c r="F27" s="2" t="s">
        <v>114</v>
      </c>
      <c r="G27" s="2" t="s">
        <v>16</v>
      </c>
      <c r="H27" s="2">
        <v>5</v>
      </c>
      <c r="I27" s="4">
        <v>299.99</v>
      </c>
      <c r="J27" s="2" t="s">
        <v>48</v>
      </c>
      <c r="K27" s="2" t="s">
        <v>12</v>
      </c>
      <c r="L27" s="2" t="s">
        <v>10</v>
      </c>
      <c r="M27" s="3">
        <v>45168</v>
      </c>
      <c r="N27" s="4">
        <v>1499.95</v>
      </c>
    </row>
    <row r="28" spans="1:14" ht="15" customHeight="1" x14ac:dyDescent="0.35">
      <c r="A28" s="2" t="s">
        <v>119</v>
      </c>
      <c r="B28" s="3">
        <v>45424</v>
      </c>
      <c r="C28" s="2" t="s">
        <v>120</v>
      </c>
      <c r="D28" s="2" t="s">
        <v>121</v>
      </c>
      <c r="E28" s="2" t="s">
        <v>122</v>
      </c>
      <c r="F28" s="2" t="s">
        <v>123</v>
      </c>
      <c r="G28" s="2" t="s">
        <v>9</v>
      </c>
      <c r="H28" s="2">
        <v>3</v>
      </c>
      <c r="I28" s="4">
        <v>79.989999999999995</v>
      </c>
      <c r="J28" s="2" t="s">
        <v>48</v>
      </c>
      <c r="K28" s="2" t="s">
        <v>12</v>
      </c>
      <c r="L28" s="2" t="s">
        <v>17</v>
      </c>
      <c r="M28" s="3">
        <v>45012</v>
      </c>
      <c r="N28" s="4">
        <v>239.97</v>
      </c>
    </row>
    <row r="29" spans="1:14" ht="15" customHeight="1" x14ac:dyDescent="0.35">
      <c r="A29" s="2" t="s">
        <v>124</v>
      </c>
      <c r="B29" s="3">
        <v>45424</v>
      </c>
      <c r="C29" s="2" t="s">
        <v>107</v>
      </c>
      <c r="D29" s="2" t="s">
        <v>108</v>
      </c>
      <c r="E29" s="2" t="s">
        <v>125</v>
      </c>
      <c r="F29" s="2" t="s">
        <v>126</v>
      </c>
      <c r="G29" s="2" t="s">
        <v>13</v>
      </c>
      <c r="H29" s="2">
        <v>5</v>
      </c>
      <c r="I29" s="4">
        <v>89.99</v>
      </c>
      <c r="J29" s="2" t="s">
        <v>38</v>
      </c>
      <c r="K29" s="2" t="s">
        <v>15</v>
      </c>
      <c r="L29" s="2" t="s">
        <v>17</v>
      </c>
      <c r="M29" s="3">
        <v>44919</v>
      </c>
      <c r="N29" s="4">
        <v>449.95</v>
      </c>
    </row>
    <row r="30" spans="1:14" ht="15" customHeight="1" x14ac:dyDescent="0.35">
      <c r="A30" s="2" t="s">
        <v>127</v>
      </c>
      <c r="B30" s="3">
        <v>45425</v>
      </c>
      <c r="C30" s="2" t="s">
        <v>128</v>
      </c>
      <c r="D30" s="2" t="s">
        <v>129</v>
      </c>
      <c r="E30" s="2" t="s">
        <v>46</v>
      </c>
      <c r="F30" s="2" t="s">
        <v>47</v>
      </c>
      <c r="G30" s="2" t="s">
        <v>9</v>
      </c>
      <c r="H30" s="2">
        <v>2</v>
      </c>
      <c r="I30" s="4">
        <v>59.99</v>
      </c>
      <c r="J30" s="2" t="s">
        <v>66</v>
      </c>
      <c r="K30" s="2" t="s">
        <v>8</v>
      </c>
      <c r="L30" s="2" t="s">
        <v>14</v>
      </c>
      <c r="M30" s="3">
        <v>45214</v>
      </c>
      <c r="N30" s="4">
        <v>119.98</v>
      </c>
    </row>
    <row r="31" spans="1:14" ht="15" customHeight="1" x14ac:dyDescent="0.35">
      <c r="A31" s="2" t="s">
        <v>130</v>
      </c>
      <c r="B31" s="3">
        <v>45427</v>
      </c>
      <c r="C31" s="2" t="s">
        <v>131</v>
      </c>
      <c r="D31" s="2" t="s">
        <v>132</v>
      </c>
      <c r="E31" s="2" t="s">
        <v>46</v>
      </c>
      <c r="F31" s="2" t="s">
        <v>47</v>
      </c>
      <c r="G31" s="2" t="s">
        <v>9</v>
      </c>
      <c r="H31" s="2">
        <v>4</v>
      </c>
      <c r="I31" s="4">
        <v>59.99</v>
      </c>
      <c r="J31" s="2" t="s">
        <v>66</v>
      </c>
      <c r="K31" s="2" t="s">
        <v>12</v>
      </c>
      <c r="L31" s="2" t="s">
        <v>14</v>
      </c>
      <c r="M31" s="3">
        <v>44867</v>
      </c>
      <c r="N31" s="4">
        <v>239.96</v>
      </c>
    </row>
    <row r="32" spans="1:14" ht="15" customHeight="1" x14ac:dyDescent="0.35">
      <c r="A32" s="2" t="s">
        <v>133</v>
      </c>
      <c r="B32" s="3">
        <v>45427</v>
      </c>
      <c r="C32" s="2" t="s">
        <v>64</v>
      </c>
      <c r="D32" s="2" t="s">
        <v>65</v>
      </c>
      <c r="E32" s="2" t="s">
        <v>134</v>
      </c>
      <c r="F32" s="2" t="s">
        <v>135</v>
      </c>
      <c r="G32" s="2" t="s">
        <v>16</v>
      </c>
      <c r="H32" s="2">
        <v>5</v>
      </c>
      <c r="I32" s="4">
        <v>199.99</v>
      </c>
      <c r="J32" s="2" t="s">
        <v>38</v>
      </c>
      <c r="K32" s="2" t="s">
        <v>18</v>
      </c>
      <c r="L32" s="2" t="s">
        <v>14</v>
      </c>
      <c r="M32" s="3">
        <v>44412</v>
      </c>
      <c r="N32" s="4">
        <v>999.95</v>
      </c>
    </row>
    <row r="33" spans="1:14" ht="15" customHeight="1" x14ac:dyDescent="0.35">
      <c r="A33" s="2" t="s">
        <v>136</v>
      </c>
      <c r="B33" s="3">
        <v>45428</v>
      </c>
      <c r="C33" s="2" t="s">
        <v>137</v>
      </c>
      <c r="D33" s="2" t="s">
        <v>138</v>
      </c>
      <c r="E33" s="2" t="s">
        <v>55</v>
      </c>
      <c r="F33" s="2" t="s">
        <v>56</v>
      </c>
      <c r="G33" s="2" t="s">
        <v>16</v>
      </c>
      <c r="H33" s="2">
        <v>2</v>
      </c>
      <c r="I33" s="4">
        <v>149.99</v>
      </c>
      <c r="J33" s="2" t="s">
        <v>42</v>
      </c>
      <c r="K33" s="2" t="s">
        <v>19</v>
      </c>
      <c r="L33" s="2" t="s">
        <v>10</v>
      </c>
      <c r="M33" s="3">
        <v>44823</v>
      </c>
      <c r="N33" s="4">
        <v>299.98</v>
      </c>
    </row>
    <row r="34" spans="1:14" ht="15" customHeight="1" x14ac:dyDescent="0.35">
      <c r="A34" s="2" t="s">
        <v>139</v>
      </c>
      <c r="B34" s="3">
        <v>45430</v>
      </c>
      <c r="C34" s="2" t="s">
        <v>140</v>
      </c>
      <c r="D34" s="2" t="s">
        <v>141</v>
      </c>
      <c r="E34" s="2" t="s">
        <v>55</v>
      </c>
      <c r="F34" s="2" t="s">
        <v>56</v>
      </c>
      <c r="G34" s="2" t="s">
        <v>16</v>
      </c>
      <c r="H34" s="2">
        <v>3</v>
      </c>
      <c r="I34" s="4">
        <v>149.99</v>
      </c>
      <c r="J34" s="2" t="s">
        <v>42</v>
      </c>
      <c r="K34" s="2" t="s">
        <v>19</v>
      </c>
      <c r="L34" s="2" t="s">
        <v>17</v>
      </c>
      <c r="M34" s="3">
        <v>45068</v>
      </c>
      <c r="N34" s="4">
        <v>449.97</v>
      </c>
    </row>
    <row r="35" spans="1:14" ht="15" customHeight="1" x14ac:dyDescent="0.35">
      <c r="A35" s="2" t="s">
        <v>142</v>
      </c>
      <c r="B35" s="3">
        <v>45432</v>
      </c>
      <c r="C35" s="2" t="s">
        <v>44</v>
      </c>
      <c r="D35" s="2" t="s">
        <v>45</v>
      </c>
      <c r="E35" s="2" t="s">
        <v>70</v>
      </c>
      <c r="F35" s="2" t="s">
        <v>71</v>
      </c>
      <c r="G35" s="2" t="s">
        <v>13</v>
      </c>
      <c r="H35" s="2">
        <v>1</v>
      </c>
      <c r="I35" s="4">
        <v>899.99</v>
      </c>
      <c r="J35" s="2" t="s">
        <v>42</v>
      </c>
      <c r="K35" s="2" t="s">
        <v>19</v>
      </c>
      <c r="L35" s="2" t="s">
        <v>17</v>
      </c>
      <c r="M35" s="3">
        <v>44578</v>
      </c>
      <c r="N35" s="4">
        <v>899.99</v>
      </c>
    </row>
    <row r="36" spans="1:14" ht="15" customHeight="1" x14ac:dyDescent="0.35">
      <c r="A36" s="2" t="s">
        <v>143</v>
      </c>
      <c r="B36" s="3">
        <v>45434</v>
      </c>
      <c r="C36" s="2" t="s">
        <v>107</v>
      </c>
      <c r="D36" s="2" t="s">
        <v>108</v>
      </c>
      <c r="E36" s="2" t="s">
        <v>113</v>
      </c>
      <c r="F36" s="2" t="s">
        <v>114</v>
      </c>
      <c r="G36" s="2" t="s">
        <v>16</v>
      </c>
      <c r="H36" s="2">
        <v>3</v>
      </c>
      <c r="I36" s="4">
        <v>299.99</v>
      </c>
      <c r="J36" s="2" t="s">
        <v>42</v>
      </c>
      <c r="K36" s="2" t="s">
        <v>12</v>
      </c>
      <c r="L36" s="2" t="s">
        <v>10</v>
      </c>
      <c r="M36" s="3">
        <v>44824</v>
      </c>
      <c r="N36" s="4">
        <v>899.97</v>
      </c>
    </row>
    <row r="37" spans="1:14" ht="15" customHeight="1" x14ac:dyDescent="0.35">
      <c r="A37" s="2" t="s">
        <v>144</v>
      </c>
      <c r="B37" s="3">
        <v>45435</v>
      </c>
      <c r="C37" s="2" t="s">
        <v>137</v>
      </c>
      <c r="D37" s="2" t="s">
        <v>138</v>
      </c>
      <c r="E37" s="2" t="s">
        <v>122</v>
      </c>
      <c r="F37" s="2" t="s">
        <v>123</v>
      </c>
      <c r="G37" s="2" t="s">
        <v>9</v>
      </c>
      <c r="H37" s="2">
        <v>3</v>
      </c>
      <c r="I37" s="4">
        <v>79.989999999999995</v>
      </c>
      <c r="J37" s="2" t="s">
        <v>38</v>
      </c>
      <c r="K37" s="2" t="s">
        <v>18</v>
      </c>
      <c r="L37" s="2" t="s">
        <v>10</v>
      </c>
      <c r="M37" s="3">
        <v>45046</v>
      </c>
      <c r="N37" s="4">
        <v>239.97</v>
      </c>
    </row>
    <row r="38" spans="1:14" ht="15" customHeight="1" x14ac:dyDescent="0.35">
      <c r="A38" s="2" t="s">
        <v>145</v>
      </c>
      <c r="B38" s="3">
        <v>45438</v>
      </c>
      <c r="C38" s="2" t="s">
        <v>146</v>
      </c>
      <c r="D38" s="2" t="s">
        <v>147</v>
      </c>
      <c r="E38" s="2" t="s">
        <v>134</v>
      </c>
      <c r="F38" s="2" t="s">
        <v>135</v>
      </c>
      <c r="G38" s="2" t="s">
        <v>16</v>
      </c>
      <c r="H38" s="2">
        <v>3</v>
      </c>
      <c r="I38" s="4">
        <v>199.99</v>
      </c>
      <c r="J38" s="2" t="s">
        <v>42</v>
      </c>
      <c r="K38" s="2" t="s">
        <v>15</v>
      </c>
      <c r="L38" s="2" t="s">
        <v>17</v>
      </c>
      <c r="M38" s="3">
        <v>45292</v>
      </c>
      <c r="N38" s="4">
        <v>599.97</v>
      </c>
    </row>
    <row r="39" spans="1:14" ht="15" customHeight="1" x14ac:dyDescent="0.35">
      <c r="A39" s="2" t="s">
        <v>148</v>
      </c>
      <c r="B39" s="3">
        <v>45440</v>
      </c>
      <c r="C39" s="2" t="s">
        <v>149</v>
      </c>
      <c r="D39" s="2" t="s">
        <v>150</v>
      </c>
      <c r="E39" s="2" t="s">
        <v>88</v>
      </c>
      <c r="F39" s="2" t="s">
        <v>89</v>
      </c>
      <c r="G39" s="2" t="s">
        <v>13</v>
      </c>
      <c r="H39" s="2">
        <v>5</v>
      </c>
      <c r="I39" s="4">
        <v>699.99</v>
      </c>
      <c r="J39" s="2" t="s">
        <v>48</v>
      </c>
      <c r="K39" s="2" t="s">
        <v>19</v>
      </c>
      <c r="L39" s="2" t="s">
        <v>14</v>
      </c>
      <c r="M39" s="3">
        <v>44407</v>
      </c>
      <c r="N39" s="4">
        <v>3499.95</v>
      </c>
    </row>
    <row r="40" spans="1:14" ht="15" customHeight="1" x14ac:dyDescent="0.35">
      <c r="A40" s="2" t="s">
        <v>151</v>
      </c>
      <c r="B40" s="3">
        <v>45441</v>
      </c>
      <c r="C40" s="2" t="s">
        <v>152</v>
      </c>
      <c r="D40" s="2" t="s">
        <v>153</v>
      </c>
      <c r="E40" s="2" t="s">
        <v>125</v>
      </c>
      <c r="F40" s="2" t="s">
        <v>126</v>
      </c>
      <c r="G40" s="2" t="s">
        <v>13</v>
      </c>
      <c r="H40" s="2">
        <v>3</v>
      </c>
      <c r="I40" s="4">
        <v>89.99</v>
      </c>
      <c r="J40" s="2" t="s">
        <v>48</v>
      </c>
      <c r="K40" s="2" t="s">
        <v>8</v>
      </c>
      <c r="L40" s="2" t="s">
        <v>17</v>
      </c>
      <c r="M40" s="3">
        <v>45120</v>
      </c>
      <c r="N40" s="4">
        <v>269.97000000000003</v>
      </c>
    </row>
    <row r="41" spans="1:14" ht="15" customHeight="1" x14ac:dyDescent="0.35">
      <c r="A41" s="2" t="s">
        <v>154</v>
      </c>
      <c r="B41" s="3">
        <v>45443</v>
      </c>
      <c r="C41" s="2" t="s">
        <v>155</v>
      </c>
      <c r="D41" s="2" t="s">
        <v>156</v>
      </c>
      <c r="E41" s="2" t="s">
        <v>122</v>
      </c>
      <c r="F41" s="2" t="s">
        <v>123</v>
      </c>
      <c r="G41" s="2" t="s">
        <v>9</v>
      </c>
      <c r="H41" s="2">
        <v>1</v>
      </c>
      <c r="I41" s="4">
        <v>79.989999999999995</v>
      </c>
      <c r="J41" s="2" t="s">
        <v>38</v>
      </c>
      <c r="K41" s="2" t="s">
        <v>15</v>
      </c>
      <c r="L41" s="2" t="s">
        <v>14</v>
      </c>
      <c r="M41" s="3">
        <v>44917</v>
      </c>
      <c r="N41" s="4">
        <v>79.989999999999995</v>
      </c>
    </row>
    <row r="42" spans="1:14" ht="15" customHeight="1" x14ac:dyDescent="0.35">
      <c r="A42" s="2" t="s">
        <v>157</v>
      </c>
      <c r="B42" s="3">
        <v>45444</v>
      </c>
      <c r="C42" s="2" t="s">
        <v>158</v>
      </c>
      <c r="D42" s="2" t="s">
        <v>159</v>
      </c>
      <c r="E42" s="2" t="s">
        <v>46</v>
      </c>
      <c r="F42" s="2" t="s">
        <v>47</v>
      </c>
      <c r="G42" s="2" t="s">
        <v>9</v>
      </c>
      <c r="H42" s="2">
        <v>2</v>
      </c>
      <c r="I42" s="4">
        <v>59.99</v>
      </c>
      <c r="J42" s="2" t="s">
        <v>38</v>
      </c>
      <c r="K42" s="2" t="s">
        <v>19</v>
      </c>
      <c r="L42" s="2" t="s">
        <v>10</v>
      </c>
      <c r="M42" s="3">
        <v>45390</v>
      </c>
      <c r="N42" s="4">
        <v>119.98</v>
      </c>
    </row>
    <row r="43" spans="1:14" ht="15" customHeight="1" x14ac:dyDescent="0.35">
      <c r="A43" s="2" t="s">
        <v>160</v>
      </c>
      <c r="B43" s="3">
        <v>45444</v>
      </c>
      <c r="C43" s="2" t="s">
        <v>64</v>
      </c>
      <c r="D43" s="2" t="s">
        <v>65</v>
      </c>
      <c r="E43" s="2" t="s">
        <v>125</v>
      </c>
      <c r="F43" s="2" t="s">
        <v>126</v>
      </c>
      <c r="G43" s="2" t="s">
        <v>13</v>
      </c>
      <c r="H43" s="2">
        <v>1</v>
      </c>
      <c r="I43" s="4">
        <v>89.99</v>
      </c>
      <c r="J43" s="2" t="s">
        <v>38</v>
      </c>
      <c r="K43" s="2" t="s">
        <v>15</v>
      </c>
      <c r="L43" s="2" t="s">
        <v>10</v>
      </c>
      <c r="M43" s="3">
        <v>45141</v>
      </c>
      <c r="N43" s="4">
        <v>89.99</v>
      </c>
    </row>
    <row r="44" spans="1:14" ht="15" customHeight="1" x14ac:dyDescent="0.35">
      <c r="A44" s="2" t="s">
        <v>161</v>
      </c>
      <c r="B44" s="3">
        <v>45446</v>
      </c>
      <c r="C44" s="2" t="s">
        <v>162</v>
      </c>
      <c r="D44" s="2" t="s">
        <v>163</v>
      </c>
      <c r="E44" s="2" t="s">
        <v>125</v>
      </c>
      <c r="F44" s="2" t="s">
        <v>126</v>
      </c>
      <c r="G44" s="2" t="s">
        <v>13</v>
      </c>
      <c r="H44" s="2">
        <v>5</v>
      </c>
      <c r="I44" s="4">
        <v>89.99</v>
      </c>
      <c r="J44" s="2" t="s">
        <v>42</v>
      </c>
      <c r="K44" s="2" t="s">
        <v>12</v>
      </c>
      <c r="L44" s="2" t="s">
        <v>14</v>
      </c>
      <c r="M44" s="3">
        <v>44587</v>
      </c>
      <c r="N44" s="4">
        <v>449.95</v>
      </c>
    </row>
    <row r="45" spans="1:14" ht="15" customHeight="1" x14ac:dyDescent="0.35">
      <c r="A45" s="2" t="s">
        <v>164</v>
      </c>
      <c r="B45" s="3">
        <v>45449</v>
      </c>
      <c r="C45" s="2" t="s">
        <v>40</v>
      </c>
      <c r="D45" s="2" t="s">
        <v>41</v>
      </c>
      <c r="E45" s="2" t="s">
        <v>36</v>
      </c>
      <c r="F45" s="2" t="s">
        <v>37</v>
      </c>
      <c r="G45" s="2" t="s">
        <v>13</v>
      </c>
      <c r="H45" s="2">
        <v>5</v>
      </c>
      <c r="I45" s="4">
        <v>249.99</v>
      </c>
      <c r="J45" s="2" t="s">
        <v>42</v>
      </c>
      <c r="K45" s="2" t="s">
        <v>12</v>
      </c>
      <c r="L45" s="2" t="s">
        <v>14</v>
      </c>
      <c r="M45" s="3">
        <v>44707</v>
      </c>
      <c r="N45" s="4">
        <v>1249.95</v>
      </c>
    </row>
    <row r="46" spans="1:14" ht="15" customHeight="1" x14ac:dyDescent="0.35">
      <c r="A46" s="2" t="s">
        <v>165</v>
      </c>
      <c r="B46" s="3">
        <v>45449</v>
      </c>
      <c r="C46" s="2" t="s">
        <v>166</v>
      </c>
      <c r="D46" s="2" t="s">
        <v>167</v>
      </c>
      <c r="E46" s="2" t="s">
        <v>125</v>
      </c>
      <c r="F46" s="2" t="s">
        <v>126</v>
      </c>
      <c r="G46" s="2" t="s">
        <v>13</v>
      </c>
      <c r="H46" s="2">
        <v>1</v>
      </c>
      <c r="I46" s="4">
        <v>89.99</v>
      </c>
      <c r="J46" s="2" t="s">
        <v>42</v>
      </c>
      <c r="K46" s="2" t="s">
        <v>18</v>
      </c>
      <c r="L46" s="2" t="s">
        <v>14</v>
      </c>
      <c r="M46" s="3">
        <v>44582</v>
      </c>
      <c r="N46" s="4">
        <v>89.99</v>
      </c>
    </row>
    <row r="47" spans="1:14" ht="15" customHeight="1" x14ac:dyDescent="0.35">
      <c r="A47" s="2" t="s">
        <v>168</v>
      </c>
      <c r="B47" s="3">
        <v>45450</v>
      </c>
      <c r="C47" s="2" t="s">
        <v>53</v>
      </c>
      <c r="D47" s="2" t="s">
        <v>54</v>
      </c>
      <c r="E47" s="2" t="s">
        <v>55</v>
      </c>
      <c r="F47" s="2" t="s">
        <v>56</v>
      </c>
      <c r="G47" s="2" t="s">
        <v>16</v>
      </c>
      <c r="H47" s="2">
        <v>2</v>
      </c>
      <c r="I47" s="4">
        <v>149.99</v>
      </c>
      <c r="J47" s="2" t="s">
        <v>38</v>
      </c>
      <c r="K47" s="2" t="s">
        <v>12</v>
      </c>
      <c r="L47" s="2" t="s">
        <v>17</v>
      </c>
      <c r="M47" s="3">
        <v>44645</v>
      </c>
      <c r="N47" s="4">
        <v>299.98</v>
      </c>
    </row>
    <row r="48" spans="1:14" ht="15" customHeight="1" x14ac:dyDescent="0.35">
      <c r="A48" s="2" t="s">
        <v>169</v>
      </c>
      <c r="B48" s="3">
        <v>45452</v>
      </c>
      <c r="C48" s="2" t="s">
        <v>170</v>
      </c>
      <c r="D48" s="2" t="s">
        <v>171</v>
      </c>
      <c r="E48" s="2" t="s">
        <v>46</v>
      </c>
      <c r="F48" s="2" t="s">
        <v>47</v>
      </c>
      <c r="G48" s="2" t="s">
        <v>9</v>
      </c>
      <c r="H48" s="2">
        <v>4</v>
      </c>
      <c r="I48" s="4">
        <v>59.99</v>
      </c>
      <c r="J48" s="2" t="s">
        <v>38</v>
      </c>
      <c r="K48" s="2" t="s">
        <v>12</v>
      </c>
      <c r="L48" s="2" t="s">
        <v>14</v>
      </c>
      <c r="M48" s="3">
        <v>44435</v>
      </c>
      <c r="N48" s="4">
        <v>239.96</v>
      </c>
    </row>
    <row r="49" spans="1:14" ht="15" customHeight="1" x14ac:dyDescent="0.35">
      <c r="A49" s="2" t="s">
        <v>172</v>
      </c>
      <c r="B49" s="3">
        <v>45456</v>
      </c>
      <c r="C49" s="2" t="s">
        <v>137</v>
      </c>
      <c r="D49" s="2" t="s">
        <v>138</v>
      </c>
      <c r="E49" s="2" t="s">
        <v>125</v>
      </c>
      <c r="F49" s="2" t="s">
        <v>126</v>
      </c>
      <c r="G49" s="2" t="s">
        <v>13</v>
      </c>
      <c r="H49" s="2">
        <v>5</v>
      </c>
      <c r="I49" s="4">
        <v>89.99</v>
      </c>
      <c r="J49" s="2" t="s">
        <v>38</v>
      </c>
      <c r="K49" s="2" t="s">
        <v>8</v>
      </c>
      <c r="L49" s="2" t="s">
        <v>17</v>
      </c>
      <c r="M49" s="3">
        <v>44579</v>
      </c>
      <c r="N49" s="4">
        <v>449.95</v>
      </c>
    </row>
    <row r="50" spans="1:14" ht="15" customHeight="1" x14ac:dyDescent="0.35">
      <c r="A50" s="2" t="s">
        <v>173</v>
      </c>
      <c r="B50" s="3">
        <v>45459</v>
      </c>
      <c r="C50" s="2" t="s">
        <v>107</v>
      </c>
      <c r="D50" s="2" t="s">
        <v>108</v>
      </c>
      <c r="E50" s="2" t="s">
        <v>125</v>
      </c>
      <c r="F50" s="2" t="s">
        <v>126</v>
      </c>
      <c r="G50" s="2" t="s">
        <v>13</v>
      </c>
      <c r="H50" s="2">
        <v>2</v>
      </c>
      <c r="I50" s="4">
        <v>89.99</v>
      </c>
      <c r="J50" s="2" t="s">
        <v>42</v>
      </c>
      <c r="K50" s="2" t="s">
        <v>18</v>
      </c>
      <c r="L50" s="2" t="s">
        <v>17</v>
      </c>
      <c r="M50" s="3">
        <v>44471</v>
      </c>
      <c r="N50" s="4">
        <v>179.98</v>
      </c>
    </row>
    <row r="51" spans="1:14" ht="15" customHeight="1" x14ac:dyDescent="0.35">
      <c r="A51" s="2" t="s">
        <v>174</v>
      </c>
      <c r="B51" s="3">
        <v>45459</v>
      </c>
      <c r="C51" s="2" t="s">
        <v>34</v>
      </c>
      <c r="D51" s="2" t="s">
        <v>35</v>
      </c>
      <c r="E51" s="2" t="s">
        <v>70</v>
      </c>
      <c r="F51" s="2" t="s">
        <v>71</v>
      </c>
      <c r="G51" s="2" t="s">
        <v>13</v>
      </c>
      <c r="H51" s="2">
        <v>5</v>
      </c>
      <c r="I51" s="4">
        <v>899.99</v>
      </c>
      <c r="J51" s="2" t="s">
        <v>42</v>
      </c>
      <c r="K51" s="2" t="s">
        <v>18</v>
      </c>
      <c r="L51" s="2" t="s">
        <v>14</v>
      </c>
      <c r="M51" s="3">
        <v>44974</v>
      </c>
      <c r="N51" s="4">
        <v>4499.95</v>
      </c>
    </row>
    <row r="52" spans="1:14" ht="15" customHeight="1" x14ac:dyDescent="0.35">
      <c r="A52" s="2" t="s">
        <v>175</v>
      </c>
      <c r="B52" s="3">
        <v>45459</v>
      </c>
      <c r="C52" s="2" t="s">
        <v>131</v>
      </c>
      <c r="D52" s="2" t="s">
        <v>132</v>
      </c>
      <c r="E52" s="2" t="s">
        <v>70</v>
      </c>
      <c r="F52" s="2" t="s">
        <v>71</v>
      </c>
      <c r="G52" s="2" t="s">
        <v>13</v>
      </c>
      <c r="H52" s="2">
        <v>5</v>
      </c>
      <c r="I52" s="4">
        <v>899.99</v>
      </c>
      <c r="J52" s="2" t="s">
        <v>48</v>
      </c>
      <c r="K52" s="2" t="s">
        <v>12</v>
      </c>
      <c r="L52" s="2" t="s">
        <v>17</v>
      </c>
      <c r="M52" s="3">
        <v>45278</v>
      </c>
      <c r="N52" s="4">
        <v>4499.95</v>
      </c>
    </row>
    <row r="53" spans="1:14" ht="15" customHeight="1" x14ac:dyDescent="0.35">
      <c r="A53" s="2" t="s">
        <v>176</v>
      </c>
      <c r="B53" s="3">
        <v>45460</v>
      </c>
      <c r="C53" s="2" t="s">
        <v>166</v>
      </c>
      <c r="D53" s="2" t="s">
        <v>167</v>
      </c>
      <c r="E53" s="2" t="s">
        <v>46</v>
      </c>
      <c r="F53" s="2" t="s">
        <v>47</v>
      </c>
      <c r="G53" s="2" t="s">
        <v>9</v>
      </c>
      <c r="H53" s="2">
        <v>1</v>
      </c>
      <c r="I53" s="4">
        <v>59.99</v>
      </c>
      <c r="J53" s="2" t="s">
        <v>66</v>
      </c>
      <c r="K53" s="2" t="s">
        <v>19</v>
      </c>
      <c r="L53" s="2" t="s">
        <v>17</v>
      </c>
      <c r="M53" s="3">
        <v>45190</v>
      </c>
      <c r="N53" s="4">
        <v>59.99</v>
      </c>
    </row>
    <row r="54" spans="1:14" ht="15" customHeight="1" x14ac:dyDescent="0.35">
      <c r="A54" s="2" t="s">
        <v>177</v>
      </c>
      <c r="B54" s="3">
        <v>45460</v>
      </c>
      <c r="C54" s="2" t="s">
        <v>149</v>
      </c>
      <c r="D54" s="2" t="s">
        <v>150</v>
      </c>
      <c r="E54" s="2" t="s">
        <v>113</v>
      </c>
      <c r="F54" s="2" t="s">
        <v>114</v>
      </c>
      <c r="G54" s="2" t="s">
        <v>16</v>
      </c>
      <c r="H54" s="2">
        <v>2</v>
      </c>
      <c r="I54" s="4">
        <v>299.99</v>
      </c>
      <c r="J54" s="2" t="s">
        <v>66</v>
      </c>
      <c r="K54" s="2" t="s">
        <v>12</v>
      </c>
      <c r="L54" s="2" t="s">
        <v>14</v>
      </c>
      <c r="M54" s="3">
        <v>45253</v>
      </c>
      <c r="N54" s="4">
        <v>599.98</v>
      </c>
    </row>
    <row r="55" spans="1:14" ht="15" customHeight="1" x14ac:dyDescent="0.35">
      <c r="A55" s="2" t="s">
        <v>178</v>
      </c>
      <c r="B55" s="3">
        <v>45468</v>
      </c>
      <c r="C55" s="2" t="s">
        <v>179</v>
      </c>
      <c r="D55" s="2" t="s">
        <v>180</v>
      </c>
      <c r="E55" s="2" t="s">
        <v>125</v>
      </c>
      <c r="F55" s="2" t="s">
        <v>126</v>
      </c>
      <c r="G55" s="2" t="s">
        <v>13</v>
      </c>
      <c r="H55" s="2">
        <v>4</v>
      </c>
      <c r="I55" s="4">
        <v>89.99</v>
      </c>
      <c r="J55" s="2" t="s">
        <v>66</v>
      </c>
      <c r="K55" s="2" t="s">
        <v>18</v>
      </c>
      <c r="L55" s="2" t="s">
        <v>10</v>
      </c>
      <c r="M55" s="3">
        <v>45281</v>
      </c>
      <c r="N55" s="4">
        <v>359.96</v>
      </c>
    </row>
    <row r="56" spans="1:14" ht="15" customHeight="1" x14ac:dyDescent="0.35">
      <c r="A56" s="2" t="s">
        <v>181</v>
      </c>
      <c r="B56" s="3">
        <v>45469</v>
      </c>
      <c r="C56" s="2" t="s">
        <v>44</v>
      </c>
      <c r="D56" s="2" t="s">
        <v>45</v>
      </c>
      <c r="E56" s="2" t="s">
        <v>122</v>
      </c>
      <c r="F56" s="2" t="s">
        <v>123</v>
      </c>
      <c r="G56" s="2" t="s">
        <v>9</v>
      </c>
      <c r="H56" s="2">
        <v>1</v>
      </c>
      <c r="I56" s="4">
        <v>79.989999999999995</v>
      </c>
      <c r="J56" s="2" t="s">
        <v>48</v>
      </c>
      <c r="K56" s="2" t="s">
        <v>8</v>
      </c>
      <c r="L56" s="2" t="s">
        <v>17</v>
      </c>
      <c r="M56" s="3">
        <v>45352</v>
      </c>
      <c r="N56" s="4">
        <v>79.989999999999995</v>
      </c>
    </row>
    <row r="57" spans="1:14" ht="15" customHeight="1" x14ac:dyDescent="0.35">
      <c r="A57" s="2" t="s">
        <v>182</v>
      </c>
      <c r="B57" s="3">
        <v>45469</v>
      </c>
      <c r="C57" s="2" t="s">
        <v>68</v>
      </c>
      <c r="D57" s="2" t="s">
        <v>69</v>
      </c>
      <c r="E57" s="2" t="s">
        <v>125</v>
      </c>
      <c r="F57" s="2" t="s">
        <v>126</v>
      </c>
      <c r="G57" s="2" t="s">
        <v>13</v>
      </c>
      <c r="H57" s="2">
        <v>2</v>
      </c>
      <c r="I57" s="4">
        <v>89.99</v>
      </c>
      <c r="J57" s="2" t="s">
        <v>38</v>
      </c>
      <c r="K57" s="2" t="s">
        <v>19</v>
      </c>
      <c r="L57" s="2" t="s">
        <v>10</v>
      </c>
      <c r="M57" s="3">
        <v>44438</v>
      </c>
      <c r="N57" s="4">
        <v>179.98</v>
      </c>
    </row>
    <row r="58" spans="1:14" ht="15" customHeight="1" x14ac:dyDescent="0.35">
      <c r="A58" s="2" t="s">
        <v>183</v>
      </c>
      <c r="B58" s="3">
        <v>45471</v>
      </c>
      <c r="C58" s="2" t="s">
        <v>50</v>
      </c>
      <c r="D58" s="2" t="s">
        <v>51</v>
      </c>
      <c r="E58" s="2" t="s">
        <v>88</v>
      </c>
      <c r="F58" s="2" t="s">
        <v>89</v>
      </c>
      <c r="G58" s="2" t="s">
        <v>13</v>
      </c>
      <c r="H58" s="2">
        <v>3</v>
      </c>
      <c r="I58" s="4">
        <v>699.99</v>
      </c>
      <c r="J58" s="2" t="s">
        <v>42</v>
      </c>
      <c r="K58" s="2" t="s">
        <v>12</v>
      </c>
      <c r="L58" s="2" t="s">
        <v>17</v>
      </c>
      <c r="M58" s="3">
        <v>45102</v>
      </c>
      <c r="N58" s="4">
        <v>2099.9699999999998</v>
      </c>
    </row>
    <row r="59" spans="1:14" ht="15" customHeight="1" x14ac:dyDescent="0.35">
      <c r="A59" s="2" t="s">
        <v>184</v>
      </c>
      <c r="B59" s="3">
        <v>45471</v>
      </c>
      <c r="C59" s="2" t="s">
        <v>107</v>
      </c>
      <c r="D59" s="2" t="s">
        <v>108</v>
      </c>
      <c r="E59" s="2" t="s">
        <v>70</v>
      </c>
      <c r="F59" s="2" t="s">
        <v>71</v>
      </c>
      <c r="G59" s="2" t="s">
        <v>13</v>
      </c>
      <c r="H59" s="2">
        <v>4</v>
      </c>
      <c r="I59" s="4">
        <v>899.99</v>
      </c>
      <c r="J59" s="2" t="s">
        <v>42</v>
      </c>
      <c r="K59" s="2" t="s">
        <v>12</v>
      </c>
      <c r="L59" s="2" t="s">
        <v>17</v>
      </c>
      <c r="M59" s="3">
        <v>44993</v>
      </c>
      <c r="N59" s="4">
        <v>3599.96</v>
      </c>
    </row>
    <row r="60" spans="1:14" ht="15" customHeight="1" x14ac:dyDescent="0.35">
      <c r="A60" s="2" t="s">
        <v>185</v>
      </c>
      <c r="B60" s="3">
        <v>45472</v>
      </c>
      <c r="C60" s="2" t="s">
        <v>128</v>
      </c>
      <c r="D60" s="2" t="s">
        <v>129</v>
      </c>
      <c r="E60" s="2" t="s">
        <v>55</v>
      </c>
      <c r="F60" s="2" t="s">
        <v>56</v>
      </c>
      <c r="G60" s="2" t="s">
        <v>16</v>
      </c>
      <c r="H60" s="2">
        <v>1</v>
      </c>
      <c r="I60" s="4">
        <v>149.99</v>
      </c>
      <c r="J60" s="2" t="s">
        <v>48</v>
      </c>
      <c r="K60" s="2" t="s">
        <v>12</v>
      </c>
      <c r="L60" s="2" t="s">
        <v>10</v>
      </c>
      <c r="M60" s="3">
        <v>44851</v>
      </c>
      <c r="N60" s="4">
        <v>149.99</v>
      </c>
    </row>
    <row r="61" spans="1:14" ht="15" customHeight="1" x14ac:dyDescent="0.35">
      <c r="A61" s="2" t="s">
        <v>186</v>
      </c>
      <c r="B61" s="3">
        <v>45474</v>
      </c>
      <c r="C61" s="2" t="s">
        <v>140</v>
      </c>
      <c r="D61" s="2" t="s">
        <v>141</v>
      </c>
      <c r="E61" s="2" t="s">
        <v>125</v>
      </c>
      <c r="F61" s="2" t="s">
        <v>126</v>
      </c>
      <c r="G61" s="2" t="s">
        <v>13</v>
      </c>
      <c r="H61" s="2">
        <v>2</v>
      </c>
      <c r="I61" s="4">
        <v>89.99</v>
      </c>
      <c r="J61" s="2" t="s">
        <v>48</v>
      </c>
      <c r="K61" s="2" t="s">
        <v>8</v>
      </c>
      <c r="L61" s="2" t="s">
        <v>17</v>
      </c>
      <c r="M61" s="3">
        <v>45275</v>
      </c>
      <c r="N61" s="4">
        <v>179.98</v>
      </c>
    </row>
    <row r="62" spans="1:14" ht="15" customHeight="1" x14ac:dyDescent="0.35">
      <c r="A62" s="2" t="s">
        <v>187</v>
      </c>
      <c r="B62" s="3">
        <v>45475</v>
      </c>
      <c r="C62" s="2" t="s">
        <v>64</v>
      </c>
      <c r="D62" s="2" t="s">
        <v>65</v>
      </c>
      <c r="E62" s="2" t="s">
        <v>125</v>
      </c>
      <c r="F62" s="2" t="s">
        <v>126</v>
      </c>
      <c r="G62" s="2" t="s">
        <v>13</v>
      </c>
      <c r="H62" s="2">
        <v>1</v>
      </c>
      <c r="I62" s="4">
        <v>89.99</v>
      </c>
      <c r="J62" s="2" t="s">
        <v>48</v>
      </c>
      <c r="K62" s="2" t="s">
        <v>19</v>
      </c>
      <c r="L62" s="2" t="s">
        <v>14</v>
      </c>
      <c r="M62" s="3">
        <v>44802</v>
      </c>
      <c r="N62" s="4">
        <v>89.99</v>
      </c>
    </row>
    <row r="63" spans="1:14" ht="15" customHeight="1" x14ac:dyDescent="0.35">
      <c r="A63" s="2" t="s">
        <v>188</v>
      </c>
      <c r="B63" s="3">
        <v>45476</v>
      </c>
      <c r="C63" s="2" t="s">
        <v>76</v>
      </c>
      <c r="D63" s="2" t="s">
        <v>77</v>
      </c>
      <c r="E63" s="2" t="s">
        <v>125</v>
      </c>
      <c r="F63" s="2" t="s">
        <v>126</v>
      </c>
      <c r="G63" s="2" t="s">
        <v>13</v>
      </c>
      <c r="H63" s="2">
        <v>1</v>
      </c>
      <c r="I63" s="4">
        <v>89.99</v>
      </c>
      <c r="J63" s="2" t="s">
        <v>38</v>
      </c>
      <c r="K63" s="2" t="s">
        <v>18</v>
      </c>
      <c r="L63" s="2" t="s">
        <v>14</v>
      </c>
      <c r="M63" s="3">
        <v>44611</v>
      </c>
      <c r="N63" s="4">
        <v>89.99</v>
      </c>
    </row>
    <row r="64" spans="1:14" ht="15" customHeight="1" x14ac:dyDescent="0.35">
      <c r="A64" s="2" t="s">
        <v>189</v>
      </c>
      <c r="B64" s="3">
        <v>45476</v>
      </c>
      <c r="C64" s="2" t="s">
        <v>190</v>
      </c>
      <c r="D64" s="2" t="s">
        <v>191</v>
      </c>
      <c r="E64" s="2" t="s">
        <v>122</v>
      </c>
      <c r="F64" s="2" t="s">
        <v>123</v>
      </c>
      <c r="G64" s="2" t="s">
        <v>9</v>
      </c>
      <c r="H64" s="2">
        <v>5</v>
      </c>
      <c r="I64" s="4">
        <v>79.989999999999995</v>
      </c>
      <c r="J64" s="2" t="s">
        <v>66</v>
      </c>
      <c r="K64" s="2" t="s">
        <v>8</v>
      </c>
      <c r="L64" s="2" t="s">
        <v>10</v>
      </c>
      <c r="M64" s="3">
        <v>44981</v>
      </c>
      <c r="N64" s="4">
        <v>399.95</v>
      </c>
    </row>
    <row r="65" spans="1:14" ht="15" customHeight="1" x14ac:dyDescent="0.35">
      <c r="A65" s="2" t="s">
        <v>192</v>
      </c>
      <c r="B65" s="3">
        <v>45481</v>
      </c>
      <c r="C65" s="2" t="s">
        <v>193</v>
      </c>
      <c r="D65" s="2" t="s">
        <v>194</v>
      </c>
      <c r="E65" s="2" t="s">
        <v>55</v>
      </c>
      <c r="F65" s="2" t="s">
        <v>56</v>
      </c>
      <c r="G65" s="2" t="s">
        <v>16</v>
      </c>
      <c r="H65" s="2">
        <v>1</v>
      </c>
      <c r="I65" s="4">
        <v>149.99</v>
      </c>
      <c r="J65" s="2" t="s">
        <v>48</v>
      </c>
      <c r="K65" s="2" t="s">
        <v>15</v>
      </c>
      <c r="L65" s="2" t="s">
        <v>10</v>
      </c>
      <c r="M65" s="3">
        <v>44421</v>
      </c>
      <c r="N65" s="4">
        <v>149.99</v>
      </c>
    </row>
    <row r="66" spans="1:14" ht="15" customHeight="1" x14ac:dyDescent="0.35">
      <c r="A66" s="2" t="s">
        <v>195</v>
      </c>
      <c r="B66" s="3">
        <v>45481</v>
      </c>
      <c r="C66" s="2" t="s">
        <v>53</v>
      </c>
      <c r="D66" s="2" t="s">
        <v>54</v>
      </c>
      <c r="E66" s="2" t="s">
        <v>88</v>
      </c>
      <c r="F66" s="2" t="s">
        <v>89</v>
      </c>
      <c r="G66" s="2" t="s">
        <v>13</v>
      </c>
      <c r="H66" s="2">
        <v>2</v>
      </c>
      <c r="I66" s="4">
        <v>699.99</v>
      </c>
      <c r="J66" s="2" t="s">
        <v>48</v>
      </c>
      <c r="K66" s="2" t="s">
        <v>12</v>
      </c>
      <c r="L66" s="2" t="s">
        <v>17</v>
      </c>
      <c r="M66" s="3">
        <v>45389</v>
      </c>
      <c r="N66" s="4">
        <v>1399.98</v>
      </c>
    </row>
    <row r="67" spans="1:14" ht="15" customHeight="1" x14ac:dyDescent="0.35">
      <c r="A67" s="2" t="s">
        <v>196</v>
      </c>
      <c r="B67" s="3">
        <v>45481</v>
      </c>
      <c r="C67" s="2" t="s">
        <v>104</v>
      </c>
      <c r="D67" s="2" t="s">
        <v>105</v>
      </c>
      <c r="E67" s="2" t="s">
        <v>125</v>
      </c>
      <c r="F67" s="2" t="s">
        <v>126</v>
      </c>
      <c r="G67" s="2" t="s">
        <v>13</v>
      </c>
      <c r="H67" s="2">
        <v>5</v>
      </c>
      <c r="I67" s="4">
        <v>89.99</v>
      </c>
      <c r="J67" s="2" t="s">
        <v>66</v>
      </c>
      <c r="K67" s="2" t="s">
        <v>15</v>
      </c>
      <c r="L67" s="2" t="s">
        <v>17</v>
      </c>
      <c r="M67" s="3">
        <v>45161</v>
      </c>
      <c r="N67" s="4">
        <v>449.95</v>
      </c>
    </row>
    <row r="68" spans="1:14" ht="15" customHeight="1" x14ac:dyDescent="0.35">
      <c r="A68" s="2" t="s">
        <v>197</v>
      </c>
      <c r="B68" s="3">
        <v>45482</v>
      </c>
      <c r="C68" s="2" t="s">
        <v>179</v>
      </c>
      <c r="D68" s="2" t="s">
        <v>180</v>
      </c>
      <c r="E68" s="2" t="s">
        <v>46</v>
      </c>
      <c r="F68" s="2" t="s">
        <v>47</v>
      </c>
      <c r="G68" s="2" t="s">
        <v>9</v>
      </c>
      <c r="H68" s="2">
        <v>4</v>
      </c>
      <c r="I68" s="4">
        <v>59.99</v>
      </c>
      <c r="J68" s="2" t="s">
        <v>38</v>
      </c>
      <c r="K68" s="2" t="s">
        <v>18</v>
      </c>
      <c r="L68" s="2" t="s">
        <v>14</v>
      </c>
      <c r="M68" s="3">
        <v>44509</v>
      </c>
      <c r="N68" s="4">
        <v>239.96</v>
      </c>
    </row>
    <row r="69" spans="1:14" ht="15" customHeight="1" x14ac:dyDescent="0.35">
      <c r="A69" s="2" t="s">
        <v>198</v>
      </c>
      <c r="B69" s="3">
        <v>45484</v>
      </c>
      <c r="C69" s="2" t="s">
        <v>40</v>
      </c>
      <c r="D69" s="2" t="s">
        <v>41</v>
      </c>
      <c r="E69" s="2" t="s">
        <v>61</v>
      </c>
      <c r="F69" s="2" t="s">
        <v>62</v>
      </c>
      <c r="G69" s="2" t="s">
        <v>13</v>
      </c>
      <c r="H69" s="2">
        <v>1</v>
      </c>
      <c r="I69" s="4">
        <v>149.99</v>
      </c>
      <c r="J69" s="2" t="s">
        <v>38</v>
      </c>
      <c r="K69" s="2" t="s">
        <v>8</v>
      </c>
      <c r="L69" s="2" t="s">
        <v>14</v>
      </c>
      <c r="M69" s="3">
        <v>44909</v>
      </c>
      <c r="N69" s="4">
        <v>149.99</v>
      </c>
    </row>
    <row r="70" spans="1:14" ht="15" customHeight="1" x14ac:dyDescent="0.35">
      <c r="A70" s="2" t="s">
        <v>199</v>
      </c>
      <c r="B70" s="3">
        <v>45484</v>
      </c>
      <c r="C70" s="2" t="s">
        <v>200</v>
      </c>
      <c r="D70" s="2" t="s">
        <v>201</v>
      </c>
      <c r="E70" s="2" t="s">
        <v>113</v>
      </c>
      <c r="F70" s="2" t="s">
        <v>114</v>
      </c>
      <c r="G70" s="2" t="s">
        <v>16</v>
      </c>
      <c r="H70" s="2">
        <v>1</v>
      </c>
      <c r="I70" s="4">
        <v>299.99</v>
      </c>
      <c r="J70" s="2" t="s">
        <v>42</v>
      </c>
      <c r="K70" s="2" t="s">
        <v>15</v>
      </c>
      <c r="L70" s="2" t="s">
        <v>17</v>
      </c>
      <c r="M70" s="3">
        <v>44891</v>
      </c>
      <c r="N70" s="4">
        <v>299.99</v>
      </c>
    </row>
    <row r="71" spans="1:14" ht="15" customHeight="1" x14ac:dyDescent="0.35">
      <c r="A71" s="2" t="s">
        <v>202</v>
      </c>
      <c r="B71" s="3">
        <v>45487</v>
      </c>
      <c r="C71" s="2" t="s">
        <v>200</v>
      </c>
      <c r="D71" s="2" t="s">
        <v>201</v>
      </c>
      <c r="E71" s="2" t="s">
        <v>134</v>
      </c>
      <c r="F71" s="2" t="s">
        <v>135</v>
      </c>
      <c r="G71" s="2" t="s">
        <v>16</v>
      </c>
      <c r="H71" s="2">
        <v>2</v>
      </c>
      <c r="I71" s="4">
        <v>199.99</v>
      </c>
      <c r="J71" s="2" t="s">
        <v>38</v>
      </c>
      <c r="K71" s="2" t="s">
        <v>15</v>
      </c>
      <c r="L71" s="2" t="s">
        <v>10</v>
      </c>
      <c r="M71" s="3">
        <v>44541</v>
      </c>
      <c r="N71" s="4">
        <v>399.98</v>
      </c>
    </row>
    <row r="72" spans="1:14" ht="15" customHeight="1" x14ac:dyDescent="0.35">
      <c r="A72" s="2" t="s">
        <v>203</v>
      </c>
      <c r="B72" s="3">
        <v>45490</v>
      </c>
      <c r="C72" s="2" t="s">
        <v>204</v>
      </c>
      <c r="D72" s="2" t="s">
        <v>205</v>
      </c>
      <c r="E72" s="2" t="s">
        <v>46</v>
      </c>
      <c r="F72" s="2" t="s">
        <v>47</v>
      </c>
      <c r="G72" s="2" t="s">
        <v>9</v>
      </c>
      <c r="H72" s="2">
        <v>3</v>
      </c>
      <c r="I72" s="4">
        <v>59.99</v>
      </c>
      <c r="J72" s="2" t="s">
        <v>42</v>
      </c>
      <c r="K72" s="2" t="s">
        <v>19</v>
      </c>
      <c r="L72" s="2" t="s">
        <v>10</v>
      </c>
      <c r="M72" s="3">
        <v>45130</v>
      </c>
      <c r="N72" s="4">
        <v>179.97</v>
      </c>
    </row>
    <row r="73" spans="1:14" ht="15" customHeight="1" x14ac:dyDescent="0.35">
      <c r="A73" s="2" t="s">
        <v>206</v>
      </c>
      <c r="B73" s="3">
        <v>45490</v>
      </c>
      <c r="C73" s="2" t="s">
        <v>80</v>
      </c>
      <c r="D73" s="2" t="s">
        <v>81</v>
      </c>
      <c r="E73" s="2" t="s">
        <v>55</v>
      </c>
      <c r="F73" s="2" t="s">
        <v>56</v>
      </c>
      <c r="G73" s="2" t="s">
        <v>16</v>
      </c>
      <c r="H73" s="2">
        <v>3</v>
      </c>
      <c r="I73" s="4">
        <v>149.99</v>
      </c>
      <c r="J73" s="2" t="s">
        <v>38</v>
      </c>
      <c r="K73" s="2" t="s">
        <v>8</v>
      </c>
      <c r="L73" s="2" t="s">
        <v>17</v>
      </c>
      <c r="M73" s="3">
        <v>45199</v>
      </c>
      <c r="N73" s="4">
        <v>449.97</v>
      </c>
    </row>
    <row r="74" spans="1:14" ht="15" customHeight="1" x14ac:dyDescent="0.35">
      <c r="A74" s="2" t="s">
        <v>207</v>
      </c>
      <c r="B74" s="3">
        <v>45491</v>
      </c>
      <c r="C74" s="2" t="s">
        <v>73</v>
      </c>
      <c r="D74" s="2" t="s">
        <v>74</v>
      </c>
      <c r="E74" s="2" t="s">
        <v>134</v>
      </c>
      <c r="F74" s="2" t="s">
        <v>135</v>
      </c>
      <c r="G74" s="2" t="s">
        <v>16</v>
      </c>
      <c r="H74" s="2">
        <v>3</v>
      </c>
      <c r="I74" s="4">
        <v>199.99</v>
      </c>
      <c r="J74" s="2" t="s">
        <v>38</v>
      </c>
      <c r="K74" s="2" t="s">
        <v>15</v>
      </c>
      <c r="L74" s="2" t="s">
        <v>17</v>
      </c>
      <c r="M74" s="3">
        <v>45254</v>
      </c>
      <c r="N74" s="4">
        <v>599.97</v>
      </c>
    </row>
    <row r="75" spans="1:14" ht="15" customHeight="1" x14ac:dyDescent="0.35">
      <c r="A75" s="2" t="s">
        <v>208</v>
      </c>
      <c r="B75" s="3">
        <v>45496</v>
      </c>
      <c r="C75" s="2" t="s">
        <v>158</v>
      </c>
      <c r="D75" s="2" t="s">
        <v>159</v>
      </c>
      <c r="E75" s="2" t="s">
        <v>70</v>
      </c>
      <c r="F75" s="2" t="s">
        <v>71</v>
      </c>
      <c r="G75" s="2" t="s">
        <v>13</v>
      </c>
      <c r="H75" s="2">
        <v>1</v>
      </c>
      <c r="I75" s="4">
        <v>899.99</v>
      </c>
      <c r="J75" s="2" t="s">
        <v>38</v>
      </c>
      <c r="K75" s="2" t="s">
        <v>8</v>
      </c>
      <c r="L75" s="2" t="s">
        <v>14</v>
      </c>
      <c r="M75" s="3">
        <v>45179</v>
      </c>
      <c r="N75" s="4">
        <v>899.99</v>
      </c>
    </row>
    <row r="76" spans="1:14" ht="15" customHeight="1" x14ac:dyDescent="0.35">
      <c r="A76" s="2" t="s">
        <v>209</v>
      </c>
      <c r="B76" s="3">
        <v>45497</v>
      </c>
      <c r="C76" s="2" t="s">
        <v>40</v>
      </c>
      <c r="D76" s="2" t="s">
        <v>41</v>
      </c>
      <c r="E76" s="2" t="s">
        <v>70</v>
      </c>
      <c r="F76" s="2" t="s">
        <v>71</v>
      </c>
      <c r="G76" s="2" t="s">
        <v>13</v>
      </c>
      <c r="H76" s="2">
        <v>5</v>
      </c>
      <c r="I76" s="4">
        <v>899.99</v>
      </c>
      <c r="J76" s="2" t="s">
        <v>66</v>
      </c>
      <c r="K76" s="2" t="s">
        <v>18</v>
      </c>
      <c r="L76" s="2" t="s">
        <v>14</v>
      </c>
      <c r="M76" s="3">
        <v>44899</v>
      </c>
      <c r="N76" s="4">
        <v>4499.95</v>
      </c>
    </row>
    <row r="77" spans="1:14" ht="15" customHeight="1" x14ac:dyDescent="0.35">
      <c r="A77" s="2" t="s">
        <v>210</v>
      </c>
      <c r="B77" s="3">
        <v>45498</v>
      </c>
      <c r="C77" s="2" t="s">
        <v>190</v>
      </c>
      <c r="D77" s="2" t="s">
        <v>191</v>
      </c>
      <c r="E77" s="2" t="s">
        <v>46</v>
      </c>
      <c r="F77" s="2" t="s">
        <v>47</v>
      </c>
      <c r="G77" s="2" t="s">
        <v>9</v>
      </c>
      <c r="H77" s="2">
        <v>2</v>
      </c>
      <c r="I77" s="4">
        <v>59.99</v>
      </c>
      <c r="J77" s="2" t="s">
        <v>38</v>
      </c>
      <c r="K77" s="2" t="s">
        <v>15</v>
      </c>
      <c r="L77" s="2" t="s">
        <v>14</v>
      </c>
      <c r="M77" s="3">
        <v>45152</v>
      </c>
      <c r="N77" s="4">
        <v>119.98</v>
      </c>
    </row>
    <row r="78" spans="1:14" ht="15" customHeight="1" x14ac:dyDescent="0.35">
      <c r="A78" s="2" t="s">
        <v>211</v>
      </c>
      <c r="B78" s="3">
        <v>45498</v>
      </c>
      <c r="C78" s="2" t="s">
        <v>204</v>
      </c>
      <c r="D78" s="2" t="s">
        <v>205</v>
      </c>
      <c r="E78" s="2" t="s">
        <v>36</v>
      </c>
      <c r="F78" s="2" t="s">
        <v>37</v>
      </c>
      <c r="G78" s="2" t="s">
        <v>13</v>
      </c>
      <c r="H78" s="2">
        <v>4</v>
      </c>
      <c r="I78" s="4">
        <v>249.99</v>
      </c>
      <c r="J78" s="2" t="s">
        <v>66</v>
      </c>
      <c r="K78" s="2" t="s">
        <v>8</v>
      </c>
      <c r="L78" s="2" t="s">
        <v>14</v>
      </c>
      <c r="M78" s="3">
        <v>45127</v>
      </c>
      <c r="N78" s="4">
        <v>999.96</v>
      </c>
    </row>
    <row r="79" spans="1:14" ht="15" customHeight="1" x14ac:dyDescent="0.35">
      <c r="A79" s="2" t="s">
        <v>212</v>
      </c>
      <c r="B79" s="3">
        <v>45500</v>
      </c>
      <c r="C79" s="2" t="s">
        <v>104</v>
      </c>
      <c r="D79" s="2" t="s">
        <v>105</v>
      </c>
      <c r="E79" s="2" t="s">
        <v>36</v>
      </c>
      <c r="F79" s="2" t="s">
        <v>37</v>
      </c>
      <c r="G79" s="2" t="s">
        <v>13</v>
      </c>
      <c r="H79" s="2">
        <v>2</v>
      </c>
      <c r="I79" s="4">
        <v>249.99</v>
      </c>
      <c r="J79" s="2" t="s">
        <v>38</v>
      </c>
      <c r="K79" s="2" t="s">
        <v>15</v>
      </c>
      <c r="L79" s="2" t="s">
        <v>17</v>
      </c>
      <c r="M79" s="3">
        <v>45164</v>
      </c>
      <c r="N79" s="4">
        <v>499.98</v>
      </c>
    </row>
    <row r="80" spans="1:14" ht="15" customHeight="1" x14ac:dyDescent="0.35">
      <c r="A80" s="2" t="s">
        <v>213</v>
      </c>
      <c r="B80" s="3">
        <v>45500</v>
      </c>
      <c r="C80" s="2" t="s">
        <v>155</v>
      </c>
      <c r="D80" s="2" t="s">
        <v>156</v>
      </c>
      <c r="E80" s="2" t="s">
        <v>113</v>
      </c>
      <c r="F80" s="2" t="s">
        <v>114</v>
      </c>
      <c r="G80" s="2" t="s">
        <v>16</v>
      </c>
      <c r="H80" s="2">
        <v>1</v>
      </c>
      <c r="I80" s="4">
        <v>299.99</v>
      </c>
      <c r="J80" s="2" t="s">
        <v>38</v>
      </c>
      <c r="K80" s="2" t="s">
        <v>18</v>
      </c>
      <c r="L80" s="2" t="s">
        <v>10</v>
      </c>
      <c r="M80" s="3">
        <v>44982</v>
      </c>
      <c r="N80" s="4">
        <v>299.99</v>
      </c>
    </row>
    <row r="81" spans="1:14" ht="15" customHeight="1" x14ac:dyDescent="0.35">
      <c r="A81" s="2" t="s">
        <v>214</v>
      </c>
      <c r="B81" s="3">
        <v>45501</v>
      </c>
      <c r="C81" s="2" t="s">
        <v>94</v>
      </c>
      <c r="D81" s="2" t="s">
        <v>95</v>
      </c>
      <c r="E81" s="2" t="s">
        <v>125</v>
      </c>
      <c r="F81" s="2" t="s">
        <v>126</v>
      </c>
      <c r="G81" s="2" t="s">
        <v>13</v>
      </c>
      <c r="H81" s="2">
        <v>2</v>
      </c>
      <c r="I81" s="4">
        <v>89.99</v>
      </c>
      <c r="J81" s="2" t="s">
        <v>48</v>
      </c>
      <c r="K81" s="2" t="s">
        <v>18</v>
      </c>
      <c r="L81" s="2" t="s">
        <v>10</v>
      </c>
      <c r="M81" s="3">
        <v>44976</v>
      </c>
      <c r="N81" s="4">
        <v>179.98</v>
      </c>
    </row>
    <row r="82" spans="1:14" ht="15" customHeight="1" x14ac:dyDescent="0.35">
      <c r="A82" s="2" t="s">
        <v>215</v>
      </c>
      <c r="B82" s="3">
        <v>45501</v>
      </c>
      <c r="C82" s="2" t="s">
        <v>155</v>
      </c>
      <c r="D82" s="2" t="s">
        <v>156</v>
      </c>
      <c r="E82" s="2" t="s">
        <v>113</v>
      </c>
      <c r="F82" s="2" t="s">
        <v>114</v>
      </c>
      <c r="G82" s="2" t="s">
        <v>16</v>
      </c>
      <c r="H82" s="2">
        <v>3</v>
      </c>
      <c r="I82" s="4">
        <v>299.99</v>
      </c>
      <c r="J82" s="2" t="s">
        <v>38</v>
      </c>
      <c r="K82" s="2" t="s">
        <v>8</v>
      </c>
      <c r="L82" s="2" t="s">
        <v>10</v>
      </c>
      <c r="M82" s="3">
        <v>44732</v>
      </c>
      <c r="N82" s="4">
        <v>899.97</v>
      </c>
    </row>
    <row r="83" spans="1:14" ht="15" customHeight="1" x14ac:dyDescent="0.35">
      <c r="A83" s="2" t="s">
        <v>216</v>
      </c>
      <c r="B83" s="3">
        <v>45503</v>
      </c>
      <c r="C83" s="2" t="s">
        <v>94</v>
      </c>
      <c r="D83" s="2" t="s">
        <v>95</v>
      </c>
      <c r="E83" s="2" t="s">
        <v>88</v>
      </c>
      <c r="F83" s="2" t="s">
        <v>89</v>
      </c>
      <c r="G83" s="2" t="s">
        <v>13</v>
      </c>
      <c r="H83" s="2">
        <v>2</v>
      </c>
      <c r="I83" s="4">
        <v>699.99</v>
      </c>
      <c r="J83" s="2" t="s">
        <v>42</v>
      </c>
      <c r="K83" s="2" t="s">
        <v>15</v>
      </c>
      <c r="L83" s="2" t="s">
        <v>17</v>
      </c>
      <c r="M83" s="3">
        <v>44999</v>
      </c>
      <c r="N83" s="4">
        <v>1399.98</v>
      </c>
    </row>
    <row r="84" spans="1:14" ht="15" customHeight="1" x14ac:dyDescent="0.35">
      <c r="A84" s="2" t="s">
        <v>217</v>
      </c>
      <c r="B84" s="3">
        <v>45504</v>
      </c>
      <c r="C84" s="2" t="s">
        <v>128</v>
      </c>
      <c r="D84" s="2" t="s">
        <v>129</v>
      </c>
      <c r="E84" s="2" t="s">
        <v>70</v>
      </c>
      <c r="F84" s="2" t="s">
        <v>71</v>
      </c>
      <c r="G84" s="2" t="s">
        <v>13</v>
      </c>
      <c r="H84" s="2">
        <v>4</v>
      </c>
      <c r="I84" s="4">
        <v>899.99</v>
      </c>
      <c r="J84" s="2" t="s">
        <v>66</v>
      </c>
      <c r="K84" s="2" t="s">
        <v>18</v>
      </c>
      <c r="L84" s="2" t="s">
        <v>14</v>
      </c>
      <c r="M84" s="3">
        <v>44523</v>
      </c>
      <c r="N84" s="4">
        <v>3599.96</v>
      </c>
    </row>
    <row r="85" spans="1:14" ht="15" customHeight="1" x14ac:dyDescent="0.35">
      <c r="A85" s="2" t="s">
        <v>218</v>
      </c>
      <c r="B85" s="3">
        <v>45509</v>
      </c>
      <c r="C85" s="2" t="s">
        <v>219</v>
      </c>
      <c r="D85" s="2" t="s">
        <v>220</v>
      </c>
      <c r="E85" s="2" t="s">
        <v>55</v>
      </c>
      <c r="F85" s="2" t="s">
        <v>56</v>
      </c>
      <c r="G85" s="2" t="s">
        <v>16</v>
      </c>
      <c r="H85" s="2">
        <v>2</v>
      </c>
      <c r="I85" s="4">
        <v>149.99</v>
      </c>
      <c r="J85" s="2" t="s">
        <v>42</v>
      </c>
      <c r="K85" s="2" t="s">
        <v>19</v>
      </c>
      <c r="L85" s="2" t="s">
        <v>10</v>
      </c>
      <c r="M85" s="3">
        <v>44542</v>
      </c>
      <c r="N85" s="4">
        <v>299.98</v>
      </c>
    </row>
    <row r="86" spans="1:14" ht="15" customHeight="1" x14ac:dyDescent="0.35">
      <c r="A86" s="2" t="s">
        <v>221</v>
      </c>
      <c r="B86" s="3">
        <v>45510</v>
      </c>
      <c r="C86" s="2" t="s">
        <v>110</v>
      </c>
      <c r="D86" s="2" t="s">
        <v>111</v>
      </c>
      <c r="E86" s="2" t="s">
        <v>55</v>
      </c>
      <c r="F86" s="2" t="s">
        <v>56</v>
      </c>
      <c r="G86" s="2" t="s">
        <v>16</v>
      </c>
      <c r="H86" s="2">
        <v>2</v>
      </c>
      <c r="I86" s="4">
        <v>149.99</v>
      </c>
      <c r="J86" s="2" t="s">
        <v>66</v>
      </c>
      <c r="K86" s="2" t="s">
        <v>12</v>
      </c>
      <c r="L86" s="2" t="s">
        <v>14</v>
      </c>
      <c r="M86" s="3">
        <v>44667</v>
      </c>
      <c r="N86" s="4">
        <v>299.98</v>
      </c>
    </row>
    <row r="87" spans="1:14" ht="15" customHeight="1" x14ac:dyDescent="0.35">
      <c r="A87" s="2" t="s">
        <v>222</v>
      </c>
      <c r="B87" s="3">
        <v>45513</v>
      </c>
      <c r="C87" s="2" t="s">
        <v>97</v>
      </c>
      <c r="D87" s="2" t="s">
        <v>98</v>
      </c>
      <c r="E87" s="2" t="s">
        <v>125</v>
      </c>
      <c r="F87" s="2" t="s">
        <v>126</v>
      </c>
      <c r="G87" s="2" t="s">
        <v>13</v>
      </c>
      <c r="H87" s="2">
        <v>1</v>
      </c>
      <c r="I87" s="4">
        <v>89.99</v>
      </c>
      <c r="J87" s="2" t="s">
        <v>42</v>
      </c>
      <c r="K87" s="2" t="s">
        <v>15</v>
      </c>
      <c r="L87" s="2" t="s">
        <v>14</v>
      </c>
      <c r="M87" s="3">
        <v>45393</v>
      </c>
      <c r="N87" s="4">
        <v>89.99</v>
      </c>
    </row>
    <row r="88" spans="1:14" ht="15" customHeight="1" x14ac:dyDescent="0.35">
      <c r="A88" s="2" t="s">
        <v>223</v>
      </c>
      <c r="B88" s="3">
        <v>45515</v>
      </c>
      <c r="C88" s="2" t="s">
        <v>94</v>
      </c>
      <c r="D88" s="2" t="s">
        <v>95</v>
      </c>
      <c r="E88" s="2" t="s">
        <v>113</v>
      </c>
      <c r="F88" s="2" t="s">
        <v>114</v>
      </c>
      <c r="G88" s="2" t="s">
        <v>16</v>
      </c>
      <c r="H88" s="2">
        <v>5</v>
      </c>
      <c r="I88" s="4">
        <v>299.99</v>
      </c>
      <c r="J88" s="2" t="s">
        <v>42</v>
      </c>
      <c r="K88" s="2" t="s">
        <v>15</v>
      </c>
      <c r="L88" s="2" t="s">
        <v>10</v>
      </c>
      <c r="M88" s="3">
        <v>44965</v>
      </c>
      <c r="N88" s="4">
        <v>1499.95</v>
      </c>
    </row>
    <row r="89" spans="1:14" ht="15" customHeight="1" x14ac:dyDescent="0.35">
      <c r="A89" s="2" t="s">
        <v>224</v>
      </c>
      <c r="B89" s="3">
        <v>45517</v>
      </c>
      <c r="C89" s="2" t="s">
        <v>190</v>
      </c>
      <c r="D89" s="2" t="s">
        <v>191</v>
      </c>
      <c r="E89" s="2" t="s">
        <v>61</v>
      </c>
      <c r="F89" s="2" t="s">
        <v>62</v>
      </c>
      <c r="G89" s="2" t="s">
        <v>13</v>
      </c>
      <c r="H89" s="2">
        <v>4</v>
      </c>
      <c r="I89" s="4">
        <v>149.99</v>
      </c>
      <c r="J89" s="2" t="s">
        <v>66</v>
      </c>
      <c r="K89" s="2" t="s">
        <v>18</v>
      </c>
      <c r="L89" s="2" t="s">
        <v>17</v>
      </c>
      <c r="M89" s="3">
        <v>44820</v>
      </c>
      <c r="N89" s="4">
        <v>599.96</v>
      </c>
    </row>
    <row r="90" spans="1:14" ht="15" customHeight="1" x14ac:dyDescent="0.35">
      <c r="A90" s="2" t="s">
        <v>225</v>
      </c>
      <c r="B90" s="3">
        <v>45517</v>
      </c>
      <c r="C90" s="2" t="s">
        <v>193</v>
      </c>
      <c r="D90" s="2" t="s">
        <v>194</v>
      </c>
      <c r="E90" s="2" t="s">
        <v>36</v>
      </c>
      <c r="F90" s="2" t="s">
        <v>37</v>
      </c>
      <c r="G90" s="2" t="s">
        <v>13</v>
      </c>
      <c r="H90" s="2">
        <v>5</v>
      </c>
      <c r="I90" s="4">
        <v>249.99</v>
      </c>
      <c r="J90" s="2" t="s">
        <v>48</v>
      </c>
      <c r="K90" s="2" t="s">
        <v>12</v>
      </c>
      <c r="L90" s="2" t="s">
        <v>17</v>
      </c>
      <c r="M90" s="3">
        <v>44782</v>
      </c>
      <c r="N90" s="4">
        <v>1249.95</v>
      </c>
    </row>
    <row r="91" spans="1:14" ht="15" customHeight="1" x14ac:dyDescent="0.35">
      <c r="A91" s="2" t="s">
        <v>226</v>
      </c>
      <c r="B91" s="3">
        <v>45517</v>
      </c>
      <c r="C91" s="2" t="s">
        <v>73</v>
      </c>
      <c r="D91" s="2" t="s">
        <v>74</v>
      </c>
      <c r="E91" s="2" t="s">
        <v>36</v>
      </c>
      <c r="F91" s="2" t="s">
        <v>37</v>
      </c>
      <c r="G91" s="2" t="s">
        <v>13</v>
      </c>
      <c r="H91" s="2">
        <v>3</v>
      </c>
      <c r="I91" s="4">
        <v>249.99</v>
      </c>
      <c r="J91" s="2" t="s">
        <v>48</v>
      </c>
      <c r="K91" s="2" t="s">
        <v>15</v>
      </c>
      <c r="L91" s="2" t="s">
        <v>17</v>
      </c>
      <c r="M91" s="3">
        <v>44465</v>
      </c>
      <c r="N91" s="4">
        <v>749.97</v>
      </c>
    </row>
    <row r="92" spans="1:14" ht="15" customHeight="1" x14ac:dyDescent="0.35">
      <c r="A92" s="2" t="s">
        <v>227</v>
      </c>
      <c r="B92" s="3">
        <v>45517</v>
      </c>
      <c r="C92" s="2" t="s">
        <v>50</v>
      </c>
      <c r="D92" s="2" t="s">
        <v>51</v>
      </c>
      <c r="E92" s="2" t="s">
        <v>134</v>
      </c>
      <c r="F92" s="2" t="s">
        <v>135</v>
      </c>
      <c r="G92" s="2" t="s">
        <v>16</v>
      </c>
      <c r="H92" s="2">
        <v>4</v>
      </c>
      <c r="I92" s="4">
        <v>199.99</v>
      </c>
      <c r="J92" s="2" t="s">
        <v>38</v>
      </c>
      <c r="K92" s="2" t="s">
        <v>15</v>
      </c>
      <c r="L92" s="2" t="s">
        <v>14</v>
      </c>
      <c r="M92" s="3">
        <v>44458</v>
      </c>
      <c r="N92" s="4">
        <v>799.96</v>
      </c>
    </row>
    <row r="93" spans="1:14" ht="15" customHeight="1" x14ac:dyDescent="0.35">
      <c r="A93" s="2" t="s">
        <v>228</v>
      </c>
      <c r="B93" s="3">
        <v>45519</v>
      </c>
      <c r="C93" s="2" t="s">
        <v>166</v>
      </c>
      <c r="D93" s="2" t="s">
        <v>167</v>
      </c>
      <c r="E93" s="2" t="s">
        <v>134</v>
      </c>
      <c r="F93" s="2" t="s">
        <v>135</v>
      </c>
      <c r="G93" s="2" t="s">
        <v>16</v>
      </c>
      <c r="H93" s="2">
        <v>5</v>
      </c>
      <c r="I93" s="4">
        <v>199.99</v>
      </c>
      <c r="J93" s="2" t="s">
        <v>38</v>
      </c>
      <c r="K93" s="2" t="s">
        <v>15</v>
      </c>
      <c r="L93" s="2" t="s">
        <v>17</v>
      </c>
      <c r="M93" s="3">
        <v>44991</v>
      </c>
      <c r="N93" s="4">
        <v>999.95</v>
      </c>
    </row>
    <row r="94" spans="1:14" ht="15" customHeight="1" x14ac:dyDescent="0.35">
      <c r="A94" s="2" t="s">
        <v>229</v>
      </c>
      <c r="B94" s="3">
        <v>45522</v>
      </c>
      <c r="C94" s="2" t="s">
        <v>94</v>
      </c>
      <c r="D94" s="2" t="s">
        <v>95</v>
      </c>
      <c r="E94" s="2" t="s">
        <v>125</v>
      </c>
      <c r="F94" s="2" t="s">
        <v>126</v>
      </c>
      <c r="G94" s="2" t="s">
        <v>13</v>
      </c>
      <c r="H94" s="2">
        <v>2</v>
      </c>
      <c r="I94" s="4">
        <v>89.99</v>
      </c>
      <c r="J94" s="2" t="s">
        <v>38</v>
      </c>
      <c r="K94" s="2" t="s">
        <v>12</v>
      </c>
      <c r="L94" s="2" t="s">
        <v>17</v>
      </c>
      <c r="M94" s="3">
        <v>44972</v>
      </c>
      <c r="N94" s="4">
        <v>179.98</v>
      </c>
    </row>
    <row r="95" spans="1:14" ht="15" customHeight="1" x14ac:dyDescent="0.35">
      <c r="A95" s="2" t="s">
        <v>230</v>
      </c>
      <c r="B95" s="3">
        <v>45523</v>
      </c>
      <c r="C95" s="2" t="s">
        <v>204</v>
      </c>
      <c r="D95" s="2" t="s">
        <v>205</v>
      </c>
      <c r="E95" s="2" t="s">
        <v>70</v>
      </c>
      <c r="F95" s="2" t="s">
        <v>71</v>
      </c>
      <c r="G95" s="2" t="s">
        <v>13</v>
      </c>
      <c r="H95" s="2">
        <v>5</v>
      </c>
      <c r="I95" s="4">
        <v>899.99</v>
      </c>
      <c r="J95" s="2" t="s">
        <v>66</v>
      </c>
      <c r="K95" s="2" t="s">
        <v>12</v>
      </c>
      <c r="L95" s="2" t="s">
        <v>10</v>
      </c>
      <c r="M95" s="3">
        <v>44526</v>
      </c>
      <c r="N95" s="4">
        <v>4499.95</v>
      </c>
    </row>
    <row r="96" spans="1:14" ht="15" customHeight="1" x14ac:dyDescent="0.35">
      <c r="A96" s="2" t="s">
        <v>231</v>
      </c>
      <c r="B96" s="3">
        <v>45523</v>
      </c>
      <c r="C96" s="2" t="s">
        <v>116</v>
      </c>
      <c r="D96" s="2" t="s">
        <v>117</v>
      </c>
      <c r="E96" s="2" t="s">
        <v>61</v>
      </c>
      <c r="F96" s="2" t="s">
        <v>62</v>
      </c>
      <c r="G96" s="2" t="s">
        <v>13</v>
      </c>
      <c r="H96" s="2">
        <v>3</v>
      </c>
      <c r="I96" s="4">
        <v>149.99</v>
      </c>
      <c r="J96" s="2" t="s">
        <v>48</v>
      </c>
      <c r="K96" s="2" t="s">
        <v>12</v>
      </c>
      <c r="L96" s="2" t="s">
        <v>10</v>
      </c>
      <c r="M96" s="3">
        <v>44574</v>
      </c>
      <c r="N96" s="4">
        <v>449.97</v>
      </c>
    </row>
    <row r="97" spans="1:14" ht="15" customHeight="1" x14ac:dyDescent="0.35">
      <c r="A97" s="2" t="s">
        <v>232</v>
      </c>
      <c r="B97" s="3">
        <v>45526</v>
      </c>
      <c r="C97" s="2" t="s">
        <v>110</v>
      </c>
      <c r="D97" s="2" t="s">
        <v>111</v>
      </c>
      <c r="E97" s="2" t="s">
        <v>55</v>
      </c>
      <c r="F97" s="2" t="s">
        <v>56</v>
      </c>
      <c r="G97" s="2" t="s">
        <v>16</v>
      </c>
      <c r="H97" s="2">
        <v>5</v>
      </c>
      <c r="I97" s="4">
        <v>149.99</v>
      </c>
      <c r="J97" s="2" t="s">
        <v>42</v>
      </c>
      <c r="K97" s="2" t="s">
        <v>8</v>
      </c>
      <c r="L97" s="2" t="s">
        <v>10</v>
      </c>
      <c r="M97" s="3">
        <v>45310</v>
      </c>
      <c r="N97" s="4">
        <v>749.95</v>
      </c>
    </row>
    <row r="98" spans="1:14" ht="15" customHeight="1" x14ac:dyDescent="0.35">
      <c r="A98" s="2" t="s">
        <v>233</v>
      </c>
      <c r="B98" s="3">
        <v>45528</v>
      </c>
      <c r="C98" s="2" t="s">
        <v>234</v>
      </c>
      <c r="D98" s="2" t="s">
        <v>235</v>
      </c>
      <c r="E98" s="2" t="s">
        <v>122</v>
      </c>
      <c r="F98" s="2" t="s">
        <v>123</v>
      </c>
      <c r="G98" s="2" t="s">
        <v>9</v>
      </c>
      <c r="H98" s="2">
        <v>3</v>
      </c>
      <c r="I98" s="4">
        <v>79.989999999999995</v>
      </c>
      <c r="J98" s="2" t="s">
        <v>38</v>
      </c>
      <c r="K98" s="2" t="s">
        <v>8</v>
      </c>
      <c r="L98" s="2" t="s">
        <v>17</v>
      </c>
      <c r="M98" s="3">
        <v>44779</v>
      </c>
      <c r="N98" s="4">
        <v>239.97</v>
      </c>
    </row>
    <row r="99" spans="1:14" ht="15" customHeight="1" x14ac:dyDescent="0.35">
      <c r="A99" s="2" t="s">
        <v>236</v>
      </c>
      <c r="B99" s="3">
        <v>45528</v>
      </c>
      <c r="C99" s="2" t="s">
        <v>152</v>
      </c>
      <c r="D99" s="2" t="s">
        <v>153</v>
      </c>
      <c r="E99" s="2" t="s">
        <v>36</v>
      </c>
      <c r="F99" s="2" t="s">
        <v>37</v>
      </c>
      <c r="G99" s="2" t="s">
        <v>13</v>
      </c>
      <c r="H99" s="2">
        <v>2</v>
      </c>
      <c r="I99" s="4">
        <v>249.99</v>
      </c>
      <c r="J99" s="2" t="s">
        <v>38</v>
      </c>
      <c r="K99" s="2" t="s">
        <v>18</v>
      </c>
      <c r="L99" s="2" t="s">
        <v>14</v>
      </c>
      <c r="M99" s="3">
        <v>44572</v>
      </c>
      <c r="N99" s="4">
        <v>499.98</v>
      </c>
    </row>
    <row r="100" spans="1:14" ht="15" customHeight="1" x14ac:dyDescent="0.35">
      <c r="A100" s="2" t="s">
        <v>237</v>
      </c>
      <c r="B100" s="3">
        <v>45532</v>
      </c>
      <c r="C100" s="2" t="s">
        <v>204</v>
      </c>
      <c r="D100" s="2" t="s">
        <v>205</v>
      </c>
      <c r="E100" s="2" t="s">
        <v>88</v>
      </c>
      <c r="F100" s="2" t="s">
        <v>89</v>
      </c>
      <c r="G100" s="2" t="s">
        <v>13</v>
      </c>
      <c r="H100" s="2">
        <v>1</v>
      </c>
      <c r="I100" s="4">
        <v>699.99</v>
      </c>
      <c r="J100" s="2" t="s">
        <v>38</v>
      </c>
      <c r="K100" s="2" t="s">
        <v>8</v>
      </c>
      <c r="L100" s="2" t="s">
        <v>17</v>
      </c>
      <c r="M100" s="3">
        <v>44497</v>
      </c>
      <c r="N100" s="4">
        <v>699.99</v>
      </c>
    </row>
    <row r="101" spans="1:14" ht="15" customHeight="1" x14ac:dyDescent="0.35">
      <c r="A101" s="2" t="s">
        <v>238</v>
      </c>
      <c r="B101" s="3">
        <v>45532</v>
      </c>
      <c r="C101" s="2" t="s">
        <v>239</v>
      </c>
      <c r="D101" s="2" t="s">
        <v>240</v>
      </c>
      <c r="E101" s="2" t="s">
        <v>61</v>
      </c>
      <c r="F101" s="2" t="s">
        <v>62</v>
      </c>
      <c r="G101" s="2" t="s">
        <v>13</v>
      </c>
      <c r="H101" s="2">
        <v>3</v>
      </c>
      <c r="I101" s="4">
        <v>149.99</v>
      </c>
      <c r="J101" s="2" t="s">
        <v>38</v>
      </c>
      <c r="K101" s="2" t="s">
        <v>19</v>
      </c>
      <c r="L101" s="2" t="s">
        <v>17</v>
      </c>
      <c r="M101" s="3">
        <v>45212</v>
      </c>
      <c r="N101" s="4">
        <v>449.97</v>
      </c>
    </row>
    <row r="102" spans="1:14" ht="15" customHeight="1" x14ac:dyDescent="0.35">
      <c r="A102" s="2" t="s">
        <v>241</v>
      </c>
      <c r="B102" s="3">
        <v>45534</v>
      </c>
      <c r="C102" s="2" t="s">
        <v>242</v>
      </c>
      <c r="D102" s="2" t="s">
        <v>243</v>
      </c>
      <c r="E102" s="2" t="s">
        <v>88</v>
      </c>
      <c r="F102" s="2" t="s">
        <v>89</v>
      </c>
      <c r="G102" s="2" t="s">
        <v>13</v>
      </c>
      <c r="H102" s="2">
        <v>2</v>
      </c>
      <c r="I102" s="4">
        <v>699.99</v>
      </c>
      <c r="J102" s="2" t="s">
        <v>42</v>
      </c>
      <c r="K102" s="2" t="s">
        <v>15</v>
      </c>
      <c r="L102" s="2" t="s">
        <v>17</v>
      </c>
      <c r="M102" s="3">
        <v>44421</v>
      </c>
      <c r="N102" s="4">
        <v>1399.98</v>
      </c>
    </row>
    <row r="103" spans="1:14" ht="15" customHeight="1" x14ac:dyDescent="0.35">
      <c r="A103" s="2" t="s">
        <v>244</v>
      </c>
      <c r="B103" s="3">
        <v>45537</v>
      </c>
      <c r="C103" s="2" t="s">
        <v>239</v>
      </c>
      <c r="D103" s="2" t="s">
        <v>240</v>
      </c>
      <c r="E103" s="2" t="s">
        <v>36</v>
      </c>
      <c r="F103" s="2" t="s">
        <v>37</v>
      </c>
      <c r="G103" s="2" t="s">
        <v>13</v>
      </c>
      <c r="H103" s="2">
        <v>1</v>
      </c>
      <c r="I103" s="4">
        <v>249.99</v>
      </c>
      <c r="J103" s="2" t="s">
        <v>42</v>
      </c>
      <c r="K103" s="2" t="s">
        <v>19</v>
      </c>
      <c r="L103" s="2" t="s">
        <v>17</v>
      </c>
      <c r="M103" s="3">
        <v>44685</v>
      </c>
      <c r="N103" s="4">
        <v>249.99</v>
      </c>
    </row>
    <row r="104" spans="1:14" ht="15" customHeight="1" x14ac:dyDescent="0.35">
      <c r="A104" s="2" t="s">
        <v>245</v>
      </c>
      <c r="B104" s="3">
        <v>45537</v>
      </c>
      <c r="C104" s="2" t="s">
        <v>34</v>
      </c>
      <c r="D104" s="2" t="s">
        <v>35</v>
      </c>
      <c r="E104" s="2" t="s">
        <v>36</v>
      </c>
      <c r="F104" s="2" t="s">
        <v>37</v>
      </c>
      <c r="G104" s="2" t="s">
        <v>13</v>
      </c>
      <c r="H104" s="2">
        <v>1</v>
      </c>
      <c r="I104" s="4">
        <v>249.99</v>
      </c>
      <c r="J104" s="2" t="s">
        <v>66</v>
      </c>
      <c r="K104" s="2" t="s">
        <v>15</v>
      </c>
      <c r="L104" s="2" t="s">
        <v>17</v>
      </c>
      <c r="M104" s="3">
        <v>45332</v>
      </c>
      <c r="N104" s="4">
        <v>249.99</v>
      </c>
    </row>
    <row r="105" spans="1:14" ht="15" customHeight="1" x14ac:dyDescent="0.35">
      <c r="A105" s="2" t="s">
        <v>246</v>
      </c>
      <c r="B105" s="3">
        <v>45538</v>
      </c>
      <c r="C105" s="2" t="s">
        <v>234</v>
      </c>
      <c r="D105" s="2" t="s">
        <v>235</v>
      </c>
      <c r="E105" s="2" t="s">
        <v>88</v>
      </c>
      <c r="F105" s="2" t="s">
        <v>89</v>
      </c>
      <c r="G105" s="2" t="s">
        <v>13</v>
      </c>
      <c r="H105" s="2">
        <v>2</v>
      </c>
      <c r="I105" s="4">
        <v>699.99</v>
      </c>
      <c r="J105" s="2" t="s">
        <v>66</v>
      </c>
      <c r="K105" s="2" t="s">
        <v>8</v>
      </c>
      <c r="L105" s="2" t="s">
        <v>17</v>
      </c>
      <c r="M105" s="3">
        <v>44870</v>
      </c>
      <c r="N105" s="4">
        <v>1399.98</v>
      </c>
    </row>
    <row r="106" spans="1:14" ht="15" customHeight="1" x14ac:dyDescent="0.35">
      <c r="A106" s="2" t="s">
        <v>247</v>
      </c>
      <c r="B106" s="3">
        <v>45541</v>
      </c>
      <c r="C106" s="2" t="s">
        <v>146</v>
      </c>
      <c r="D106" s="2" t="s">
        <v>147</v>
      </c>
      <c r="E106" s="2" t="s">
        <v>46</v>
      </c>
      <c r="F106" s="2" t="s">
        <v>47</v>
      </c>
      <c r="G106" s="2" t="s">
        <v>9</v>
      </c>
      <c r="H106" s="2">
        <v>3</v>
      </c>
      <c r="I106" s="4">
        <v>59.99</v>
      </c>
      <c r="J106" s="2" t="s">
        <v>42</v>
      </c>
      <c r="K106" s="2" t="s">
        <v>8</v>
      </c>
      <c r="L106" s="2" t="s">
        <v>17</v>
      </c>
      <c r="M106" s="3">
        <v>44717</v>
      </c>
      <c r="N106" s="4">
        <v>179.97</v>
      </c>
    </row>
    <row r="107" spans="1:14" ht="15" customHeight="1" x14ac:dyDescent="0.35">
      <c r="A107" s="2" t="s">
        <v>248</v>
      </c>
      <c r="B107" s="3">
        <v>45544</v>
      </c>
      <c r="C107" s="2" t="s">
        <v>140</v>
      </c>
      <c r="D107" s="2" t="s">
        <v>141</v>
      </c>
      <c r="E107" s="2" t="s">
        <v>46</v>
      </c>
      <c r="F107" s="2" t="s">
        <v>47</v>
      </c>
      <c r="G107" s="2" t="s">
        <v>9</v>
      </c>
      <c r="H107" s="2">
        <v>3</v>
      </c>
      <c r="I107" s="4">
        <v>59.99</v>
      </c>
      <c r="J107" s="2" t="s">
        <v>48</v>
      </c>
      <c r="K107" s="2" t="s">
        <v>12</v>
      </c>
      <c r="L107" s="2" t="s">
        <v>14</v>
      </c>
      <c r="M107" s="3">
        <v>44748</v>
      </c>
      <c r="N107" s="4">
        <v>179.97</v>
      </c>
    </row>
    <row r="108" spans="1:14" ht="15" customHeight="1" x14ac:dyDescent="0.35">
      <c r="A108" s="2" t="s">
        <v>249</v>
      </c>
      <c r="B108" s="3">
        <v>45544</v>
      </c>
      <c r="C108" s="2" t="s">
        <v>149</v>
      </c>
      <c r="D108" s="2" t="s">
        <v>150</v>
      </c>
      <c r="E108" s="2" t="s">
        <v>122</v>
      </c>
      <c r="F108" s="2" t="s">
        <v>123</v>
      </c>
      <c r="G108" s="2" t="s">
        <v>9</v>
      </c>
      <c r="H108" s="2">
        <v>4</v>
      </c>
      <c r="I108" s="4">
        <v>79.989999999999995</v>
      </c>
      <c r="J108" s="2" t="s">
        <v>38</v>
      </c>
      <c r="K108" s="2" t="s">
        <v>15</v>
      </c>
      <c r="L108" s="2" t="s">
        <v>10</v>
      </c>
      <c r="M108" s="3">
        <v>44530</v>
      </c>
      <c r="N108" s="4">
        <v>319.95999999999998</v>
      </c>
    </row>
    <row r="109" spans="1:14" ht="15" customHeight="1" x14ac:dyDescent="0.35">
      <c r="A109" s="2" t="s">
        <v>250</v>
      </c>
      <c r="B109" s="3">
        <v>45545</v>
      </c>
      <c r="C109" s="2" t="s">
        <v>64</v>
      </c>
      <c r="D109" s="2" t="s">
        <v>65</v>
      </c>
      <c r="E109" s="2" t="s">
        <v>122</v>
      </c>
      <c r="F109" s="2" t="s">
        <v>123</v>
      </c>
      <c r="G109" s="2" t="s">
        <v>9</v>
      </c>
      <c r="H109" s="2">
        <v>1</v>
      </c>
      <c r="I109" s="4">
        <v>79.989999999999995</v>
      </c>
      <c r="J109" s="2" t="s">
        <v>38</v>
      </c>
      <c r="K109" s="2" t="s">
        <v>19</v>
      </c>
      <c r="L109" s="2" t="s">
        <v>10</v>
      </c>
      <c r="M109" s="3">
        <v>44693</v>
      </c>
      <c r="N109" s="4">
        <v>79.989999999999995</v>
      </c>
    </row>
    <row r="110" spans="1:14" ht="15" customHeight="1" x14ac:dyDescent="0.35">
      <c r="A110" s="2" t="s">
        <v>251</v>
      </c>
      <c r="B110" s="3">
        <v>45547</v>
      </c>
      <c r="C110" s="2" t="s">
        <v>58</v>
      </c>
      <c r="D110" s="2" t="s">
        <v>59</v>
      </c>
      <c r="E110" s="2" t="s">
        <v>113</v>
      </c>
      <c r="F110" s="2" t="s">
        <v>114</v>
      </c>
      <c r="G110" s="2" t="s">
        <v>16</v>
      </c>
      <c r="H110" s="2">
        <v>3</v>
      </c>
      <c r="I110" s="4">
        <v>299.99</v>
      </c>
      <c r="J110" s="2" t="s">
        <v>42</v>
      </c>
      <c r="K110" s="2" t="s">
        <v>8</v>
      </c>
      <c r="L110" s="2" t="s">
        <v>17</v>
      </c>
      <c r="M110" s="3">
        <v>44494</v>
      </c>
      <c r="N110" s="4">
        <v>899.97</v>
      </c>
    </row>
    <row r="111" spans="1:14" ht="15" customHeight="1" x14ac:dyDescent="0.35">
      <c r="A111" s="2" t="s">
        <v>252</v>
      </c>
      <c r="B111" s="3">
        <v>45548</v>
      </c>
      <c r="C111" s="2" t="s">
        <v>50</v>
      </c>
      <c r="D111" s="2" t="s">
        <v>51</v>
      </c>
      <c r="E111" s="2" t="s">
        <v>125</v>
      </c>
      <c r="F111" s="2" t="s">
        <v>126</v>
      </c>
      <c r="G111" s="2" t="s">
        <v>13</v>
      </c>
      <c r="H111" s="2">
        <v>2</v>
      </c>
      <c r="I111" s="4">
        <v>89.99</v>
      </c>
      <c r="J111" s="2" t="s">
        <v>42</v>
      </c>
      <c r="K111" s="2" t="s">
        <v>18</v>
      </c>
      <c r="L111" s="2" t="s">
        <v>17</v>
      </c>
      <c r="M111" s="3">
        <v>44641</v>
      </c>
      <c r="N111" s="4">
        <v>179.98</v>
      </c>
    </row>
    <row r="112" spans="1:14" ht="15" customHeight="1" x14ac:dyDescent="0.35">
      <c r="A112" s="2" t="s">
        <v>253</v>
      </c>
      <c r="B112" s="3">
        <v>45550</v>
      </c>
      <c r="C112" s="2" t="s">
        <v>254</v>
      </c>
      <c r="D112" s="2" t="s">
        <v>255</v>
      </c>
      <c r="E112" s="2" t="s">
        <v>61</v>
      </c>
      <c r="F112" s="2" t="s">
        <v>62</v>
      </c>
      <c r="G112" s="2" t="s">
        <v>13</v>
      </c>
      <c r="H112" s="2">
        <v>4</v>
      </c>
      <c r="I112" s="4">
        <v>149.99</v>
      </c>
      <c r="J112" s="2" t="s">
        <v>38</v>
      </c>
      <c r="K112" s="2" t="s">
        <v>15</v>
      </c>
      <c r="L112" s="2" t="s">
        <v>10</v>
      </c>
      <c r="M112" s="3">
        <v>44909</v>
      </c>
      <c r="N112" s="4">
        <v>599.96</v>
      </c>
    </row>
    <row r="113" spans="1:14" ht="15" customHeight="1" x14ac:dyDescent="0.35">
      <c r="A113" s="2" t="s">
        <v>256</v>
      </c>
      <c r="B113" s="3">
        <v>45551</v>
      </c>
      <c r="C113" s="2" t="s">
        <v>73</v>
      </c>
      <c r="D113" s="2" t="s">
        <v>74</v>
      </c>
      <c r="E113" s="2" t="s">
        <v>36</v>
      </c>
      <c r="F113" s="2" t="s">
        <v>37</v>
      </c>
      <c r="G113" s="2" t="s">
        <v>13</v>
      </c>
      <c r="H113" s="2">
        <v>2</v>
      </c>
      <c r="I113" s="4">
        <v>249.99</v>
      </c>
      <c r="J113" s="2" t="s">
        <v>48</v>
      </c>
      <c r="K113" s="2" t="s">
        <v>18</v>
      </c>
      <c r="L113" s="2" t="s">
        <v>10</v>
      </c>
      <c r="M113" s="3">
        <v>44993</v>
      </c>
      <c r="N113" s="4">
        <v>499.98</v>
      </c>
    </row>
    <row r="114" spans="1:14" ht="15" customHeight="1" x14ac:dyDescent="0.35">
      <c r="A114" s="2" t="s">
        <v>257</v>
      </c>
      <c r="B114" s="3">
        <v>45551</v>
      </c>
      <c r="C114" s="2" t="s">
        <v>162</v>
      </c>
      <c r="D114" s="2" t="s">
        <v>163</v>
      </c>
      <c r="E114" s="2" t="s">
        <v>134</v>
      </c>
      <c r="F114" s="2" t="s">
        <v>135</v>
      </c>
      <c r="G114" s="2" t="s">
        <v>16</v>
      </c>
      <c r="H114" s="2">
        <v>4</v>
      </c>
      <c r="I114" s="4">
        <v>199.99</v>
      </c>
      <c r="J114" s="2" t="s">
        <v>66</v>
      </c>
      <c r="K114" s="2" t="s">
        <v>12</v>
      </c>
      <c r="L114" s="2" t="s">
        <v>10</v>
      </c>
      <c r="M114" s="3">
        <v>44458</v>
      </c>
      <c r="N114" s="4">
        <v>799.96</v>
      </c>
    </row>
    <row r="115" spans="1:14" ht="15" customHeight="1" x14ac:dyDescent="0.35">
      <c r="A115" s="2" t="s">
        <v>258</v>
      </c>
      <c r="B115" s="3">
        <v>45554</v>
      </c>
      <c r="C115" s="2" t="s">
        <v>155</v>
      </c>
      <c r="D115" s="2" t="s">
        <v>156</v>
      </c>
      <c r="E115" s="2" t="s">
        <v>125</v>
      </c>
      <c r="F115" s="2" t="s">
        <v>126</v>
      </c>
      <c r="G115" s="2" t="s">
        <v>13</v>
      </c>
      <c r="H115" s="2">
        <v>5</v>
      </c>
      <c r="I115" s="4">
        <v>89.99</v>
      </c>
      <c r="J115" s="2" t="s">
        <v>42</v>
      </c>
      <c r="K115" s="2" t="s">
        <v>12</v>
      </c>
      <c r="L115" s="2" t="s">
        <v>17</v>
      </c>
      <c r="M115" s="3">
        <v>44446</v>
      </c>
      <c r="N115" s="4">
        <v>449.95</v>
      </c>
    </row>
    <row r="116" spans="1:14" ht="15" customHeight="1" x14ac:dyDescent="0.35">
      <c r="A116" s="2" t="s">
        <v>259</v>
      </c>
      <c r="B116" s="3">
        <v>45554</v>
      </c>
      <c r="C116" s="2" t="s">
        <v>260</v>
      </c>
      <c r="D116" s="2" t="s">
        <v>261</v>
      </c>
      <c r="E116" s="2" t="s">
        <v>61</v>
      </c>
      <c r="F116" s="2" t="s">
        <v>62</v>
      </c>
      <c r="G116" s="2" t="s">
        <v>13</v>
      </c>
      <c r="H116" s="2">
        <v>1</v>
      </c>
      <c r="I116" s="4">
        <v>149.99</v>
      </c>
      <c r="J116" s="2" t="s">
        <v>48</v>
      </c>
      <c r="K116" s="2" t="s">
        <v>12</v>
      </c>
      <c r="L116" s="2" t="s">
        <v>14</v>
      </c>
      <c r="M116" s="3">
        <v>44482</v>
      </c>
      <c r="N116" s="4">
        <v>149.99</v>
      </c>
    </row>
    <row r="117" spans="1:14" ht="15" customHeight="1" x14ac:dyDescent="0.35">
      <c r="A117" s="2" t="s">
        <v>262</v>
      </c>
      <c r="B117" s="3">
        <v>45554</v>
      </c>
      <c r="C117" s="2" t="s">
        <v>80</v>
      </c>
      <c r="D117" s="2" t="s">
        <v>81</v>
      </c>
      <c r="E117" s="2" t="s">
        <v>88</v>
      </c>
      <c r="F117" s="2" t="s">
        <v>89</v>
      </c>
      <c r="G117" s="2" t="s">
        <v>13</v>
      </c>
      <c r="H117" s="2">
        <v>4</v>
      </c>
      <c r="I117" s="4">
        <v>699.99</v>
      </c>
      <c r="J117" s="2" t="s">
        <v>48</v>
      </c>
      <c r="K117" s="2" t="s">
        <v>18</v>
      </c>
      <c r="L117" s="2" t="s">
        <v>10</v>
      </c>
      <c r="M117" s="3">
        <v>44618</v>
      </c>
      <c r="N117" s="4">
        <v>2799.96</v>
      </c>
    </row>
    <row r="118" spans="1:14" ht="15" customHeight="1" x14ac:dyDescent="0.35">
      <c r="A118" s="2" t="s">
        <v>263</v>
      </c>
      <c r="B118" s="3">
        <v>45559</v>
      </c>
      <c r="C118" s="2" t="s">
        <v>242</v>
      </c>
      <c r="D118" s="2" t="s">
        <v>243</v>
      </c>
      <c r="E118" s="2" t="s">
        <v>70</v>
      </c>
      <c r="F118" s="2" t="s">
        <v>71</v>
      </c>
      <c r="G118" s="2" t="s">
        <v>13</v>
      </c>
      <c r="H118" s="2">
        <v>3</v>
      </c>
      <c r="I118" s="4">
        <v>899.99</v>
      </c>
      <c r="J118" s="2" t="s">
        <v>42</v>
      </c>
      <c r="K118" s="2" t="s">
        <v>15</v>
      </c>
      <c r="L118" s="2" t="s">
        <v>14</v>
      </c>
      <c r="M118" s="3">
        <v>45157</v>
      </c>
      <c r="N118" s="4">
        <v>2699.97</v>
      </c>
    </row>
    <row r="119" spans="1:14" ht="15" customHeight="1" x14ac:dyDescent="0.35">
      <c r="A119" s="2" t="s">
        <v>264</v>
      </c>
      <c r="B119" s="3">
        <v>45560</v>
      </c>
      <c r="C119" s="2" t="s">
        <v>120</v>
      </c>
      <c r="D119" s="2" t="s">
        <v>121</v>
      </c>
      <c r="E119" s="2" t="s">
        <v>55</v>
      </c>
      <c r="F119" s="2" t="s">
        <v>56</v>
      </c>
      <c r="G119" s="2" t="s">
        <v>16</v>
      </c>
      <c r="H119" s="2">
        <v>3</v>
      </c>
      <c r="I119" s="4">
        <v>149.99</v>
      </c>
      <c r="J119" s="2" t="s">
        <v>48</v>
      </c>
      <c r="K119" s="2" t="s">
        <v>12</v>
      </c>
      <c r="L119" s="2" t="s">
        <v>10</v>
      </c>
      <c r="M119" s="3">
        <v>44886</v>
      </c>
      <c r="N119" s="4">
        <v>449.97</v>
      </c>
    </row>
    <row r="120" spans="1:14" ht="15" customHeight="1" x14ac:dyDescent="0.35">
      <c r="A120" s="2" t="s">
        <v>265</v>
      </c>
      <c r="B120" s="3">
        <v>45563</v>
      </c>
      <c r="C120" s="2" t="s">
        <v>107</v>
      </c>
      <c r="D120" s="2" t="s">
        <v>108</v>
      </c>
      <c r="E120" s="2" t="s">
        <v>113</v>
      </c>
      <c r="F120" s="2" t="s">
        <v>114</v>
      </c>
      <c r="G120" s="2" t="s">
        <v>16</v>
      </c>
      <c r="H120" s="2">
        <v>2</v>
      </c>
      <c r="I120" s="4">
        <v>299.99</v>
      </c>
      <c r="J120" s="2" t="s">
        <v>66</v>
      </c>
      <c r="K120" s="2" t="s">
        <v>8</v>
      </c>
      <c r="L120" s="2" t="s">
        <v>10</v>
      </c>
      <c r="M120" s="3">
        <v>44569</v>
      </c>
      <c r="N120" s="4">
        <v>599.98</v>
      </c>
    </row>
    <row r="121" spans="1:14" ht="15" customHeight="1" x14ac:dyDescent="0.35">
      <c r="A121" s="2" t="s">
        <v>266</v>
      </c>
      <c r="B121" s="3">
        <v>45564</v>
      </c>
      <c r="C121" s="2" t="s">
        <v>267</v>
      </c>
      <c r="D121" s="2" t="s">
        <v>268</v>
      </c>
      <c r="E121" s="2" t="s">
        <v>134</v>
      </c>
      <c r="F121" s="2" t="s">
        <v>135</v>
      </c>
      <c r="G121" s="2" t="s">
        <v>16</v>
      </c>
      <c r="H121" s="2">
        <v>1</v>
      </c>
      <c r="I121" s="4">
        <v>199.99</v>
      </c>
      <c r="J121" s="2" t="s">
        <v>66</v>
      </c>
      <c r="K121" s="2" t="s">
        <v>12</v>
      </c>
      <c r="L121" s="2" t="s">
        <v>14</v>
      </c>
      <c r="M121" s="3">
        <v>44953</v>
      </c>
      <c r="N121" s="4">
        <v>199.99</v>
      </c>
    </row>
    <row r="122" spans="1:14" ht="15" customHeight="1" x14ac:dyDescent="0.35">
      <c r="A122" s="2" t="s">
        <v>269</v>
      </c>
      <c r="B122" s="3">
        <v>45566</v>
      </c>
      <c r="C122" s="2" t="s">
        <v>53</v>
      </c>
      <c r="D122" s="2" t="s">
        <v>54</v>
      </c>
      <c r="E122" s="2" t="s">
        <v>113</v>
      </c>
      <c r="F122" s="2" t="s">
        <v>114</v>
      </c>
      <c r="G122" s="2" t="s">
        <v>16</v>
      </c>
      <c r="H122" s="2">
        <v>4</v>
      </c>
      <c r="I122" s="4">
        <v>299.99</v>
      </c>
      <c r="J122" s="2" t="s">
        <v>38</v>
      </c>
      <c r="K122" s="2" t="s">
        <v>8</v>
      </c>
      <c r="L122" s="2" t="s">
        <v>17</v>
      </c>
      <c r="M122" s="3">
        <v>44460</v>
      </c>
      <c r="N122" s="4">
        <v>1199.96</v>
      </c>
    </row>
    <row r="123" spans="1:14" ht="15" customHeight="1" x14ac:dyDescent="0.35">
      <c r="A123" s="2" t="s">
        <v>270</v>
      </c>
      <c r="B123" s="3">
        <v>45572</v>
      </c>
      <c r="C123" s="2" t="s">
        <v>97</v>
      </c>
      <c r="D123" s="2" t="s">
        <v>98</v>
      </c>
      <c r="E123" s="2" t="s">
        <v>46</v>
      </c>
      <c r="F123" s="2" t="s">
        <v>47</v>
      </c>
      <c r="G123" s="2" t="s">
        <v>9</v>
      </c>
      <c r="H123" s="2">
        <v>2</v>
      </c>
      <c r="I123" s="4">
        <v>59.99</v>
      </c>
      <c r="J123" s="2" t="s">
        <v>42</v>
      </c>
      <c r="K123" s="2" t="s">
        <v>8</v>
      </c>
      <c r="L123" s="2" t="s">
        <v>10</v>
      </c>
      <c r="M123" s="3">
        <v>44579</v>
      </c>
      <c r="N123" s="4">
        <v>119.98</v>
      </c>
    </row>
    <row r="124" spans="1:14" ht="15" customHeight="1" x14ac:dyDescent="0.35">
      <c r="A124" s="2" t="s">
        <v>271</v>
      </c>
      <c r="B124" s="3">
        <v>45572</v>
      </c>
      <c r="C124" s="2" t="s">
        <v>242</v>
      </c>
      <c r="D124" s="2" t="s">
        <v>243</v>
      </c>
      <c r="E124" s="2" t="s">
        <v>61</v>
      </c>
      <c r="F124" s="2" t="s">
        <v>62</v>
      </c>
      <c r="G124" s="2" t="s">
        <v>13</v>
      </c>
      <c r="H124" s="2">
        <v>4</v>
      </c>
      <c r="I124" s="4">
        <v>149.99</v>
      </c>
      <c r="J124" s="2" t="s">
        <v>42</v>
      </c>
      <c r="K124" s="2" t="s">
        <v>15</v>
      </c>
      <c r="L124" s="2" t="s">
        <v>17</v>
      </c>
      <c r="M124" s="3">
        <v>45076</v>
      </c>
      <c r="N124" s="4">
        <v>599.96</v>
      </c>
    </row>
    <row r="125" spans="1:14" ht="15" customHeight="1" x14ac:dyDescent="0.35">
      <c r="A125" s="2" t="s">
        <v>272</v>
      </c>
      <c r="B125" s="3">
        <v>45573</v>
      </c>
      <c r="C125" s="2" t="s">
        <v>219</v>
      </c>
      <c r="D125" s="2" t="s">
        <v>220</v>
      </c>
      <c r="E125" s="2" t="s">
        <v>88</v>
      </c>
      <c r="F125" s="2" t="s">
        <v>89</v>
      </c>
      <c r="G125" s="2" t="s">
        <v>13</v>
      </c>
      <c r="H125" s="2">
        <v>2</v>
      </c>
      <c r="I125" s="4">
        <v>699.99</v>
      </c>
      <c r="J125" s="2" t="s">
        <v>66</v>
      </c>
      <c r="K125" s="2" t="s">
        <v>12</v>
      </c>
      <c r="L125" s="2" t="s">
        <v>17</v>
      </c>
      <c r="M125" s="3">
        <v>45274</v>
      </c>
      <c r="N125" s="4">
        <v>1399.98</v>
      </c>
    </row>
    <row r="126" spans="1:14" ht="15" customHeight="1" x14ac:dyDescent="0.35">
      <c r="A126" s="2" t="s">
        <v>273</v>
      </c>
      <c r="B126" s="3">
        <v>45573</v>
      </c>
      <c r="C126" s="2" t="s">
        <v>239</v>
      </c>
      <c r="D126" s="2" t="s">
        <v>240</v>
      </c>
      <c r="E126" s="2" t="s">
        <v>55</v>
      </c>
      <c r="F126" s="2" t="s">
        <v>56</v>
      </c>
      <c r="G126" s="2" t="s">
        <v>16</v>
      </c>
      <c r="H126" s="2">
        <v>3</v>
      </c>
      <c r="I126" s="4">
        <v>149.99</v>
      </c>
      <c r="J126" s="2" t="s">
        <v>42</v>
      </c>
      <c r="K126" s="2" t="s">
        <v>18</v>
      </c>
      <c r="L126" s="2" t="s">
        <v>14</v>
      </c>
      <c r="M126" s="3">
        <v>44940</v>
      </c>
      <c r="N126" s="4">
        <v>449.97</v>
      </c>
    </row>
    <row r="127" spans="1:14" ht="15" customHeight="1" x14ac:dyDescent="0.35">
      <c r="A127" s="2" t="s">
        <v>274</v>
      </c>
      <c r="B127" s="3">
        <v>45576</v>
      </c>
      <c r="C127" s="2" t="s">
        <v>155</v>
      </c>
      <c r="D127" s="2" t="s">
        <v>156</v>
      </c>
      <c r="E127" s="2" t="s">
        <v>113</v>
      </c>
      <c r="F127" s="2" t="s">
        <v>114</v>
      </c>
      <c r="G127" s="2" t="s">
        <v>16</v>
      </c>
      <c r="H127" s="2">
        <v>3</v>
      </c>
      <c r="I127" s="4">
        <v>299.99</v>
      </c>
      <c r="J127" s="2" t="s">
        <v>42</v>
      </c>
      <c r="K127" s="2" t="s">
        <v>8</v>
      </c>
      <c r="L127" s="2" t="s">
        <v>14</v>
      </c>
      <c r="M127" s="3">
        <v>45174</v>
      </c>
      <c r="N127" s="4">
        <v>899.97</v>
      </c>
    </row>
    <row r="128" spans="1:14" ht="15" customHeight="1" x14ac:dyDescent="0.35">
      <c r="A128" s="2" t="s">
        <v>275</v>
      </c>
      <c r="B128" s="3">
        <v>45579</v>
      </c>
      <c r="C128" s="2" t="s">
        <v>91</v>
      </c>
      <c r="D128" s="2" t="s">
        <v>92</v>
      </c>
      <c r="E128" s="2" t="s">
        <v>70</v>
      </c>
      <c r="F128" s="2" t="s">
        <v>71</v>
      </c>
      <c r="G128" s="2" t="s">
        <v>13</v>
      </c>
      <c r="H128" s="2">
        <v>3</v>
      </c>
      <c r="I128" s="4">
        <v>899.99</v>
      </c>
      <c r="J128" s="2" t="s">
        <v>48</v>
      </c>
      <c r="K128" s="2" t="s">
        <v>19</v>
      </c>
      <c r="L128" s="2" t="s">
        <v>10</v>
      </c>
      <c r="M128" s="3">
        <v>45215</v>
      </c>
      <c r="N128" s="4">
        <v>2699.97</v>
      </c>
    </row>
    <row r="129" spans="1:14" ht="15" customHeight="1" x14ac:dyDescent="0.35">
      <c r="A129" s="2" t="s">
        <v>276</v>
      </c>
      <c r="B129" s="3">
        <v>45581</v>
      </c>
      <c r="C129" s="2" t="s">
        <v>104</v>
      </c>
      <c r="D129" s="2" t="s">
        <v>105</v>
      </c>
      <c r="E129" s="2" t="s">
        <v>88</v>
      </c>
      <c r="F129" s="2" t="s">
        <v>89</v>
      </c>
      <c r="G129" s="2" t="s">
        <v>13</v>
      </c>
      <c r="H129" s="2">
        <v>5</v>
      </c>
      <c r="I129" s="4">
        <v>699.99</v>
      </c>
      <c r="J129" s="2" t="s">
        <v>38</v>
      </c>
      <c r="K129" s="2" t="s">
        <v>12</v>
      </c>
      <c r="L129" s="2" t="s">
        <v>14</v>
      </c>
      <c r="M129" s="3">
        <v>45008</v>
      </c>
      <c r="N129" s="4">
        <v>3499.95</v>
      </c>
    </row>
    <row r="130" spans="1:14" ht="15" customHeight="1" x14ac:dyDescent="0.35">
      <c r="A130" s="2" t="s">
        <v>277</v>
      </c>
      <c r="B130" s="3">
        <v>45581</v>
      </c>
      <c r="C130" s="2" t="s">
        <v>179</v>
      </c>
      <c r="D130" s="2" t="s">
        <v>180</v>
      </c>
      <c r="E130" s="2" t="s">
        <v>88</v>
      </c>
      <c r="F130" s="2" t="s">
        <v>89</v>
      </c>
      <c r="G130" s="2" t="s">
        <v>13</v>
      </c>
      <c r="H130" s="2">
        <v>4</v>
      </c>
      <c r="I130" s="4">
        <v>699.99</v>
      </c>
      <c r="J130" s="2" t="s">
        <v>42</v>
      </c>
      <c r="K130" s="2" t="s">
        <v>8</v>
      </c>
      <c r="L130" s="2" t="s">
        <v>10</v>
      </c>
      <c r="M130" s="3">
        <v>45385</v>
      </c>
      <c r="N130" s="4">
        <v>2799.96</v>
      </c>
    </row>
    <row r="131" spans="1:14" ht="15" customHeight="1" x14ac:dyDescent="0.35">
      <c r="A131" s="2" t="s">
        <v>278</v>
      </c>
      <c r="B131" s="3">
        <v>45581</v>
      </c>
      <c r="C131" s="2" t="s">
        <v>158</v>
      </c>
      <c r="D131" s="2" t="s">
        <v>159</v>
      </c>
      <c r="E131" s="2" t="s">
        <v>70</v>
      </c>
      <c r="F131" s="2" t="s">
        <v>71</v>
      </c>
      <c r="G131" s="2" t="s">
        <v>13</v>
      </c>
      <c r="H131" s="2">
        <v>1</v>
      </c>
      <c r="I131" s="4">
        <v>899.99</v>
      </c>
      <c r="J131" s="2" t="s">
        <v>42</v>
      </c>
      <c r="K131" s="2" t="s">
        <v>12</v>
      </c>
      <c r="L131" s="2" t="s">
        <v>14</v>
      </c>
      <c r="M131" s="3">
        <v>45369</v>
      </c>
      <c r="N131" s="4">
        <v>899.99</v>
      </c>
    </row>
    <row r="132" spans="1:14" ht="15" customHeight="1" x14ac:dyDescent="0.35">
      <c r="A132" s="2" t="s">
        <v>279</v>
      </c>
      <c r="B132" s="3">
        <v>45583</v>
      </c>
      <c r="C132" s="2" t="s">
        <v>234</v>
      </c>
      <c r="D132" s="2" t="s">
        <v>235</v>
      </c>
      <c r="E132" s="2" t="s">
        <v>61</v>
      </c>
      <c r="F132" s="2" t="s">
        <v>62</v>
      </c>
      <c r="G132" s="2" t="s">
        <v>13</v>
      </c>
      <c r="H132" s="2">
        <v>2</v>
      </c>
      <c r="I132" s="4">
        <v>149.99</v>
      </c>
      <c r="J132" s="2" t="s">
        <v>42</v>
      </c>
      <c r="K132" s="2" t="s">
        <v>19</v>
      </c>
      <c r="L132" s="2" t="s">
        <v>10</v>
      </c>
      <c r="M132" s="3">
        <v>44916</v>
      </c>
      <c r="N132" s="4">
        <v>299.98</v>
      </c>
    </row>
    <row r="133" spans="1:14" ht="15" customHeight="1" x14ac:dyDescent="0.35">
      <c r="A133" s="2" t="s">
        <v>280</v>
      </c>
      <c r="B133" s="3">
        <v>45586</v>
      </c>
      <c r="C133" s="2" t="s">
        <v>234</v>
      </c>
      <c r="D133" s="2" t="s">
        <v>235</v>
      </c>
      <c r="E133" s="2" t="s">
        <v>125</v>
      </c>
      <c r="F133" s="2" t="s">
        <v>126</v>
      </c>
      <c r="G133" s="2" t="s">
        <v>13</v>
      </c>
      <c r="H133" s="2">
        <v>3</v>
      </c>
      <c r="I133" s="4">
        <v>89.99</v>
      </c>
      <c r="J133" s="2" t="s">
        <v>48</v>
      </c>
      <c r="K133" s="2" t="s">
        <v>8</v>
      </c>
      <c r="L133" s="2" t="s">
        <v>10</v>
      </c>
      <c r="M133" s="3">
        <v>44551</v>
      </c>
      <c r="N133" s="4">
        <v>269.97000000000003</v>
      </c>
    </row>
    <row r="134" spans="1:14" ht="15" customHeight="1" x14ac:dyDescent="0.35">
      <c r="A134" s="2" t="s">
        <v>281</v>
      </c>
      <c r="B134" s="3">
        <v>45588</v>
      </c>
      <c r="C134" s="2" t="s">
        <v>50</v>
      </c>
      <c r="D134" s="2" t="s">
        <v>51</v>
      </c>
      <c r="E134" s="2" t="s">
        <v>61</v>
      </c>
      <c r="F134" s="2" t="s">
        <v>62</v>
      </c>
      <c r="G134" s="2" t="s">
        <v>13</v>
      </c>
      <c r="H134" s="2">
        <v>2</v>
      </c>
      <c r="I134" s="4">
        <v>149.99</v>
      </c>
      <c r="J134" s="2" t="s">
        <v>48</v>
      </c>
      <c r="K134" s="2" t="s">
        <v>8</v>
      </c>
      <c r="L134" s="2" t="s">
        <v>10</v>
      </c>
      <c r="M134" s="3">
        <v>44473</v>
      </c>
      <c r="N134" s="4">
        <v>299.98</v>
      </c>
    </row>
    <row r="135" spans="1:14" ht="15" customHeight="1" x14ac:dyDescent="0.35">
      <c r="A135" s="2" t="s">
        <v>282</v>
      </c>
      <c r="B135" s="3">
        <v>45588</v>
      </c>
      <c r="C135" s="2" t="s">
        <v>162</v>
      </c>
      <c r="D135" s="2" t="s">
        <v>163</v>
      </c>
      <c r="E135" s="2" t="s">
        <v>88</v>
      </c>
      <c r="F135" s="2" t="s">
        <v>89</v>
      </c>
      <c r="G135" s="2" t="s">
        <v>13</v>
      </c>
      <c r="H135" s="2">
        <v>2</v>
      </c>
      <c r="I135" s="4">
        <v>699.99</v>
      </c>
      <c r="J135" s="2" t="s">
        <v>38</v>
      </c>
      <c r="K135" s="2" t="s">
        <v>8</v>
      </c>
      <c r="L135" s="2" t="s">
        <v>10</v>
      </c>
      <c r="M135" s="3">
        <v>44992</v>
      </c>
      <c r="N135" s="4">
        <v>1399.98</v>
      </c>
    </row>
    <row r="136" spans="1:14" ht="15" customHeight="1" x14ac:dyDescent="0.35">
      <c r="A136" s="2" t="s">
        <v>283</v>
      </c>
      <c r="B136" s="3">
        <v>45589</v>
      </c>
      <c r="C136" s="2" t="s">
        <v>166</v>
      </c>
      <c r="D136" s="2" t="s">
        <v>167</v>
      </c>
      <c r="E136" s="2" t="s">
        <v>88</v>
      </c>
      <c r="F136" s="2" t="s">
        <v>89</v>
      </c>
      <c r="G136" s="2" t="s">
        <v>13</v>
      </c>
      <c r="H136" s="2">
        <v>5</v>
      </c>
      <c r="I136" s="4">
        <v>699.99</v>
      </c>
      <c r="J136" s="2" t="s">
        <v>38</v>
      </c>
      <c r="K136" s="2" t="s">
        <v>15</v>
      </c>
      <c r="L136" s="2" t="s">
        <v>17</v>
      </c>
      <c r="M136" s="3">
        <v>44635</v>
      </c>
      <c r="N136" s="4">
        <v>3499.95</v>
      </c>
    </row>
    <row r="137" spans="1:14" ht="15" customHeight="1" x14ac:dyDescent="0.35">
      <c r="A137" s="2" t="s">
        <v>284</v>
      </c>
      <c r="B137" s="3">
        <v>45592</v>
      </c>
      <c r="C137" s="2" t="s">
        <v>179</v>
      </c>
      <c r="D137" s="2" t="s">
        <v>180</v>
      </c>
      <c r="E137" s="2" t="s">
        <v>125</v>
      </c>
      <c r="F137" s="2" t="s">
        <v>126</v>
      </c>
      <c r="G137" s="2" t="s">
        <v>13</v>
      </c>
      <c r="H137" s="2">
        <v>3</v>
      </c>
      <c r="I137" s="4">
        <v>89.99</v>
      </c>
      <c r="J137" s="2" t="s">
        <v>42</v>
      </c>
      <c r="K137" s="2" t="s">
        <v>15</v>
      </c>
      <c r="L137" s="2" t="s">
        <v>14</v>
      </c>
      <c r="M137" s="3">
        <v>44615</v>
      </c>
      <c r="N137" s="4">
        <v>269.97000000000003</v>
      </c>
    </row>
    <row r="138" spans="1:14" ht="15" customHeight="1" x14ac:dyDescent="0.35">
      <c r="A138" s="2" t="s">
        <v>285</v>
      </c>
      <c r="B138" s="3">
        <v>45597</v>
      </c>
      <c r="C138" s="2" t="s">
        <v>34</v>
      </c>
      <c r="D138" s="2" t="s">
        <v>35</v>
      </c>
      <c r="E138" s="2" t="s">
        <v>36</v>
      </c>
      <c r="F138" s="2" t="s">
        <v>37</v>
      </c>
      <c r="G138" s="2" t="s">
        <v>13</v>
      </c>
      <c r="H138" s="2">
        <v>5</v>
      </c>
      <c r="I138" s="4">
        <v>249.99</v>
      </c>
      <c r="J138" s="2" t="s">
        <v>42</v>
      </c>
      <c r="K138" s="2" t="s">
        <v>18</v>
      </c>
      <c r="L138" s="2" t="s">
        <v>14</v>
      </c>
      <c r="M138" s="3">
        <v>44881</v>
      </c>
      <c r="N138" s="4">
        <v>1249.95</v>
      </c>
    </row>
    <row r="139" spans="1:14" ht="15" customHeight="1" x14ac:dyDescent="0.35">
      <c r="A139" s="2" t="s">
        <v>286</v>
      </c>
      <c r="B139" s="3">
        <v>45600</v>
      </c>
      <c r="C139" s="2" t="s">
        <v>73</v>
      </c>
      <c r="D139" s="2" t="s">
        <v>74</v>
      </c>
      <c r="E139" s="2" t="s">
        <v>113</v>
      </c>
      <c r="F139" s="2" t="s">
        <v>114</v>
      </c>
      <c r="G139" s="2" t="s">
        <v>16</v>
      </c>
      <c r="H139" s="2">
        <v>3</v>
      </c>
      <c r="I139" s="4">
        <v>299.99</v>
      </c>
      <c r="J139" s="2" t="s">
        <v>42</v>
      </c>
      <c r="K139" s="2" t="s">
        <v>18</v>
      </c>
      <c r="L139" s="2" t="s">
        <v>14</v>
      </c>
      <c r="M139" s="3">
        <v>44502</v>
      </c>
      <c r="N139" s="4">
        <v>899.97</v>
      </c>
    </row>
    <row r="140" spans="1:14" ht="15" customHeight="1" x14ac:dyDescent="0.35">
      <c r="A140" s="2" t="s">
        <v>287</v>
      </c>
      <c r="B140" s="3">
        <v>45603</v>
      </c>
      <c r="C140" s="2" t="s">
        <v>107</v>
      </c>
      <c r="D140" s="2" t="s">
        <v>108</v>
      </c>
      <c r="E140" s="2" t="s">
        <v>125</v>
      </c>
      <c r="F140" s="2" t="s">
        <v>126</v>
      </c>
      <c r="G140" s="2" t="s">
        <v>13</v>
      </c>
      <c r="H140" s="2">
        <v>3</v>
      </c>
      <c r="I140" s="4">
        <v>89.99</v>
      </c>
      <c r="J140" s="2" t="s">
        <v>42</v>
      </c>
      <c r="K140" s="2" t="s">
        <v>15</v>
      </c>
      <c r="L140" s="2" t="s">
        <v>17</v>
      </c>
      <c r="M140" s="3">
        <v>44420</v>
      </c>
      <c r="N140" s="4">
        <v>269.97000000000003</v>
      </c>
    </row>
    <row r="141" spans="1:14" ht="15" customHeight="1" x14ac:dyDescent="0.35">
      <c r="A141" s="2" t="s">
        <v>288</v>
      </c>
      <c r="B141" s="3">
        <v>45604</v>
      </c>
      <c r="C141" s="2" t="s">
        <v>97</v>
      </c>
      <c r="D141" s="2" t="s">
        <v>98</v>
      </c>
      <c r="E141" s="2" t="s">
        <v>55</v>
      </c>
      <c r="F141" s="2" t="s">
        <v>56</v>
      </c>
      <c r="G141" s="2" t="s">
        <v>16</v>
      </c>
      <c r="H141" s="2">
        <v>2</v>
      </c>
      <c r="I141" s="4">
        <v>149.99</v>
      </c>
      <c r="J141" s="2" t="s">
        <v>42</v>
      </c>
      <c r="K141" s="2" t="s">
        <v>19</v>
      </c>
      <c r="L141" s="2" t="s">
        <v>17</v>
      </c>
      <c r="M141" s="3">
        <v>44848</v>
      </c>
      <c r="N141" s="4">
        <v>299.98</v>
      </c>
    </row>
    <row r="142" spans="1:14" ht="15" customHeight="1" x14ac:dyDescent="0.35">
      <c r="A142" s="2" t="s">
        <v>289</v>
      </c>
      <c r="B142" s="3">
        <v>45605</v>
      </c>
      <c r="C142" s="2" t="s">
        <v>193</v>
      </c>
      <c r="D142" s="2" t="s">
        <v>194</v>
      </c>
      <c r="E142" s="2" t="s">
        <v>36</v>
      </c>
      <c r="F142" s="2" t="s">
        <v>37</v>
      </c>
      <c r="G142" s="2" t="s">
        <v>13</v>
      </c>
      <c r="H142" s="2">
        <v>1</v>
      </c>
      <c r="I142" s="4">
        <v>249.99</v>
      </c>
      <c r="J142" s="2" t="s">
        <v>42</v>
      </c>
      <c r="K142" s="2" t="s">
        <v>15</v>
      </c>
      <c r="L142" s="2" t="s">
        <v>17</v>
      </c>
      <c r="M142" s="3">
        <v>44828</v>
      </c>
      <c r="N142" s="4">
        <v>249.99</v>
      </c>
    </row>
    <row r="143" spans="1:14" ht="15" customHeight="1" x14ac:dyDescent="0.35">
      <c r="A143" s="2" t="s">
        <v>290</v>
      </c>
      <c r="B143" s="3">
        <v>45607</v>
      </c>
      <c r="C143" s="2" t="s">
        <v>80</v>
      </c>
      <c r="D143" s="2" t="s">
        <v>81</v>
      </c>
      <c r="E143" s="2" t="s">
        <v>61</v>
      </c>
      <c r="F143" s="2" t="s">
        <v>62</v>
      </c>
      <c r="G143" s="2" t="s">
        <v>13</v>
      </c>
      <c r="H143" s="2">
        <v>3</v>
      </c>
      <c r="I143" s="4">
        <v>149.99</v>
      </c>
      <c r="J143" s="2" t="s">
        <v>38</v>
      </c>
      <c r="K143" s="2" t="s">
        <v>15</v>
      </c>
      <c r="L143" s="2" t="s">
        <v>10</v>
      </c>
      <c r="M143" s="3">
        <v>44769</v>
      </c>
      <c r="N143" s="4">
        <v>449.97</v>
      </c>
    </row>
    <row r="144" spans="1:14" ht="15" customHeight="1" x14ac:dyDescent="0.35">
      <c r="A144" s="2" t="s">
        <v>291</v>
      </c>
      <c r="B144" s="3">
        <v>45607</v>
      </c>
      <c r="C144" s="2" t="s">
        <v>34</v>
      </c>
      <c r="D144" s="2" t="s">
        <v>35</v>
      </c>
      <c r="E144" s="2" t="s">
        <v>46</v>
      </c>
      <c r="F144" s="2" t="s">
        <v>47</v>
      </c>
      <c r="G144" s="2" t="s">
        <v>9</v>
      </c>
      <c r="H144" s="2">
        <v>5</v>
      </c>
      <c r="I144" s="4">
        <v>59.99</v>
      </c>
      <c r="J144" s="2" t="s">
        <v>48</v>
      </c>
      <c r="K144" s="2" t="s">
        <v>19</v>
      </c>
      <c r="L144" s="2" t="s">
        <v>17</v>
      </c>
      <c r="M144" s="3">
        <v>44694</v>
      </c>
      <c r="N144" s="4">
        <v>299.95</v>
      </c>
    </row>
    <row r="145" spans="1:14" ht="15" customHeight="1" x14ac:dyDescent="0.35">
      <c r="A145" s="2" t="s">
        <v>292</v>
      </c>
      <c r="B145" s="3">
        <v>45607</v>
      </c>
      <c r="C145" s="2" t="s">
        <v>107</v>
      </c>
      <c r="D145" s="2" t="s">
        <v>108</v>
      </c>
      <c r="E145" s="2" t="s">
        <v>36</v>
      </c>
      <c r="F145" s="2" t="s">
        <v>37</v>
      </c>
      <c r="G145" s="2" t="s">
        <v>13</v>
      </c>
      <c r="H145" s="2">
        <v>4</v>
      </c>
      <c r="I145" s="4">
        <v>249.99</v>
      </c>
      <c r="J145" s="2" t="s">
        <v>42</v>
      </c>
      <c r="K145" s="2" t="s">
        <v>19</v>
      </c>
      <c r="L145" s="2" t="s">
        <v>14</v>
      </c>
      <c r="M145" s="3">
        <v>44659</v>
      </c>
      <c r="N145" s="4">
        <v>999.96</v>
      </c>
    </row>
    <row r="146" spans="1:14" ht="15" customHeight="1" x14ac:dyDescent="0.35">
      <c r="A146" s="2" t="s">
        <v>293</v>
      </c>
      <c r="B146" s="3">
        <v>45608</v>
      </c>
      <c r="C146" s="2" t="s">
        <v>162</v>
      </c>
      <c r="D146" s="2" t="s">
        <v>163</v>
      </c>
      <c r="E146" s="2" t="s">
        <v>55</v>
      </c>
      <c r="F146" s="2" t="s">
        <v>56</v>
      </c>
      <c r="G146" s="2" t="s">
        <v>16</v>
      </c>
      <c r="H146" s="2">
        <v>5</v>
      </c>
      <c r="I146" s="4">
        <v>149.99</v>
      </c>
      <c r="J146" s="2" t="s">
        <v>48</v>
      </c>
      <c r="K146" s="2" t="s">
        <v>8</v>
      </c>
      <c r="L146" s="2" t="s">
        <v>10</v>
      </c>
      <c r="M146" s="3">
        <v>44901</v>
      </c>
      <c r="N146" s="4">
        <v>749.95</v>
      </c>
    </row>
    <row r="147" spans="1:14" ht="15" customHeight="1" x14ac:dyDescent="0.35">
      <c r="A147" s="2" t="s">
        <v>294</v>
      </c>
      <c r="B147" s="3">
        <v>45608</v>
      </c>
      <c r="C147" s="2" t="s">
        <v>91</v>
      </c>
      <c r="D147" s="2" t="s">
        <v>92</v>
      </c>
      <c r="E147" s="2" t="s">
        <v>46</v>
      </c>
      <c r="F147" s="2" t="s">
        <v>47</v>
      </c>
      <c r="G147" s="2" t="s">
        <v>9</v>
      </c>
      <c r="H147" s="2">
        <v>3</v>
      </c>
      <c r="I147" s="4">
        <v>59.99</v>
      </c>
      <c r="J147" s="2" t="s">
        <v>66</v>
      </c>
      <c r="K147" s="2" t="s">
        <v>18</v>
      </c>
      <c r="L147" s="2" t="s">
        <v>14</v>
      </c>
      <c r="M147" s="3">
        <v>45260</v>
      </c>
      <c r="N147" s="4">
        <v>179.97</v>
      </c>
    </row>
    <row r="148" spans="1:14" ht="15" customHeight="1" x14ac:dyDescent="0.35">
      <c r="A148" s="2" t="s">
        <v>295</v>
      </c>
      <c r="B148" s="3">
        <v>45613</v>
      </c>
      <c r="C148" s="2" t="s">
        <v>242</v>
      </c>
      <c r="D148" s="2" t="s">
        <v>243</v>
      </c>
      <c r="E148" s="2" t="s">
        <v>55</v>
      </c>
      <c r="F148" s="2" t="s">
        <v>56</v>
      </c>
      <c r="G148" s="2" t="s">
        <v>16</v>
      </c>
      <c r="H148" s="2">
        <v>5</v>
      </c>
      <c r="I148" s="4">
        <v>149.99</v>
      </c>
      <c r="J148" s="2" t="s">
        <v>38</v>
      </c>
      <c r="K148" s="2" t="s">
        <v>15</v>
      </c>
      <c r="L148" s="2" t="s">
        <v>10</v>
      </c>
      <c r="M148" s="3">
        <v>44869</v>
      </c>
      <c r="N148" s="4">
        <v>749.95</v>
      </c>
    </row>
    <row r="149" spans="1:14" ht="15" customHeight="1" x14ac:dyDescent="0.35">
      <c r="A149" s="2" t="s">
        <v>296</v>
      </c>
      <c r="B149" s="3">
        <v>45613</v>
      </c>
      <c r="C149" s="2" t="s">
        <v>94</v>
      </c>
      <c r="D149" s="2" t="s">
        <v>95</v>
      </c>
      <c r="E149" s="2" t="s">
        <v>88</v>
      </c>
      <c r="F149" s="2" t="s">
        <v>89</v>
      </c>
      <c r="G149" s="2" t="s">
        <v>13</v>
      </c>
      <c r="H149" s="2">
        <v>2</v>
      </c>
      <c r="I149" s="4">
        <v>699.99</v>
      </c>
      <c r="J149" s="2" t="s">
        <v>48</v>
      </c>
      <c r="K149" s="2" t="s">
        <v>19</v>
      </c>
      <c r="L149" s="2" t="s">
        <v>14</v>
      </c>
      <c r="M149" s="3">
        <v>44770</v>
      </c>
      <c r="N149" s="4">
        <v>1399.98</v>
      </c>
    </row>
    <row r="150" spans="1:14" ht="15" customHeight="1" x14ac:dyDescent="0.35">
      <c r="A150" s="2" t="s">
        <v>297</v>
      </c>
      <c r="B150" s="3">
        <v>45617</v>
      </c>
      <c r="C150" s="2" t="s">
        <v>131</v>
      </c>
      <c r="D150" s="2" t="s">
        <v>132</v>
      </c>
      <c r="E150" s="2" t="s">
        <v>134</v>
      </c>
      <c r="F150" s="2" t="s">
        <v>135</v>
      </c>
      <c r="G150" s="2" t="s">
        <v>16</v>
      </c>
      <c r="H150" s="2">
        <v>4</v>
      </c>
      <c r="I150" s="4">
        <v>199.99</v>
      </c>
      <c r="J150" s="2" t="s">
        <v>66</v>
      </c>
      <c r="K150" s="2" t="s">
        <v>8</v>
      </c>
      <c r="L150" s="2" t="s">
        <v>17</v>
      </c>
      <c r="M150" s="3">
        <v>44427</v>
      </c>
      <c r="N150" s="4">
        <v>799.96</v>
      </c>
    </row>
    <row r="151" spans="1:14" ht="15" customHeight="1" x14ac:dyDescent="0.35">
      <c r="A151" s="2" t="s">
        <v>298</v>
      </c>
      <c r="B151" s="3">
        <v>45619</v>
      </c>
      <c r="C151" s="2" t="s">
        <v>200</v>
      </c>
      <c r="D151" s="2" t="s">
        <v>201</v>
      </c>
      <c r="E151" s="2" t="s">
        <v>46</v>
      </c>
      <c r="F151" s="2" t="s">
        <v>47</v>
      </c>
      <c r="G151" s="2" t="s">
        <v>9</v>
      </c>
      <c r="H151" s="2">
        <v>1</v>
      </c>
      <c r="I151" s="4">
        <v>59.99</v>
      </c>
      <c r="J151" s="2" t="s">
        <v>66</v>
      </c>
      <c r="K151" s="2" t="s">
        <v>19</v>
      </c>
      <c r="L151" s="2" t="s">
        <v>14</v>
      </c>
      <c r="M151" s="3">
        <v>44560</v>
      </c>
      <c r="N151" s="4">
        <v>59.99</v>
      </c>
    </row>
    <row r="152" spans="1:14" ht="15" customHeight="1" x14ac:dyDescent="0.35">
      <c r="A152" s="2" t="s">
        <v>299</v>
      </c>
      <c r="B152" s="3">
        <v>45619</v>
      </c>
      <c r="C152" s="2" t="s">
        <v>162</v>
      </c>
      <c r="D152" s="2" t="s">
        <v>163</v>
      </c>
      <c r="E152" s="2" t="s">
        <v>88</v>
      </c>
      <c r="F152" s="2" t="s">
        <v>89</v>
      </c>
      <c r="G152" s="2" t="s">
        <v>13</v>
      </c>
      <c r="H152" s="2">
        <v>3</v>
      </c>
      <c r="I152" s="4">
        <v>699.99</v>
      </c>
      <c r="J152" s="2" t="s">
        <v>48</v>
      </c>
      <c r="K152" s="2" t="s">
        <v>19</v>
      </c>
      <c r="L152" s="2" t="s">
        <v>14</v>
      </c>
      <c r="M152" s="3">
        <v>44583</v>
      </c>
      <c r="N152" s="4">
        <v>2099.9699999999998</v>
      </c>
    </row>
    <row r="153" spans="1:14" ht="15" customHeight="1" x14ac:dyDescent="0.35">
      <c r="A153" s="2" t="s">
        <v>300</v>
      </c>
      <c r="B153" s="3">
        <v>45622</v>
      </c>
      <c r="C153" s="2" t="s">
        <v>301</v>
      </c>
      <c r="D153" s="2" t="s">
        <v>302</v>
      </c>
      <c r="E153" s="2" t="s">
        <v>36</v>
      </c>
      <c r="F153" s="2" t="s">
        <v>37</v>
      </c>
      <c r="G153" s="2" t="s">
        <v>13</v>
      </c>
      <c r="H153" s="2">
        <v>5</v>
      </c>
      <c r="I153" s="4">
        <v>249.99</v>
      </c>
      <c r="J153" s="2" t="s">
        <v>42</v>
      </c>
      <c r="K153" s="2" t="s">
        <v>15</v>
      </c>
      <c r="L153" s="2" t="s">
        <v>10</v>
      </c>
      <c r="M153" s="3">
        <v>44873</v>
      </c>
      <c r="N153" s="4">
        <v>1249.95</v>
      </c>
    </row>
    <row r="154" spans="1:14" ht="15" customHeight="1" x14ac:dyDescent="0.35">
      <c r="A154" s="2" t="s">
        <v>303</v>
      </c>
      <c r="B154" s="3">
        <v>45623</v>
      </c>
      <c r="C154" s="2" t="s">
        <v>120</v>
      </c>
      <c r="D154" s="2" t="s">
        <v>121</v>
      </c>
      <c r="E154" s="2" t="s">
        <v>55</v>
      </c>
      <c r="F154" s="2" t="s">
        <v>56</v>
      </c>
      <c r="G154" s="2" t="s">
        <v>16</v>
      </c>
      <c r="H154" s="2">
        <v>2</v>
      </c>
      <c r="I154" s="4">
        <v>149.99</v>
      </c>
      <c r="J154" s="2" t="s">
        <v>38</v>
      </c>
      <c r="K154" s="2" t="s">
        <v>18</v>
      </c>
      <c r="L154" s="2" t="s">
        <v>14</v>
      </c>
      <c r="M154" s="3">
        <v>45101</v>
      </c>
      <c r="N154" s="4">
        <v>299.98</v>
      </c>
    </row>
    <row r="155" spans="1:14" ht="15" customHeight="1" x14ac:dyDescent="0.35">
      <c r="A155" s="2" t="s">
        <v>304</v>
      </c>
      <c r="B155" s="3">
        <v>45627</v>
      </c>
      <c r="C155" s="2" t="s">
        <v>44</v>
      </c>
      <c r="D155" s="2" t="s">
        <v>45</v>
      </c>
      <c r="E155" s="2" t="s">
        <v>113</v>
      </c>
      <c r="F155" s="2" t="s">
        <v>114</v>
      </c>
      <c r="G155" s="2" t="s">
        <v>16</v>
      </c>
      <c r="H155" s="2">
        <v>3</v>
      </c>
      <c r="I155" s="4">
        <v>299.99</v>
      </c>
      <c r="J155" s="2" t="s">
        <v>38</v>
      </c>
      <c r="K155" s="2" t="s">
        <v>18</v>
      </c>
      <c r="L155" s="2" t="s">
        <v>17</v>
      </c>
      <c r="M155" s="3">
        <v>44659</v>
      </c>
      <c r="N155" s="4">
        <v>899.97</v>
      </c>
    </row>
    <row r="156" spans="1:14" ht="15" customHeight="1" x14ac:dyDescent="0.35">
      <c r="A156" s="2" t="s">
        <v>305</v>
      </c>
      <c r="B156" s="3">
        <v>45627</v>
      </c>
      <c r="C156" s="2" t="s">
        <v>64</v>
      </c>
      <c r="D156" s="2" t="s">
        <v>65</v>
      </c>
      <c r="E156" s="2" t="s">
        <v>36</v>
      </c>
      <c r="F156" s="2" t="s">
        <v>37</v>
      </c>
      <c r="G156" s="2" t="s">
        <v>13</v>
      </c>
      <c r="H156" s="2">
        <v>5</v>
      </c>
      <c r="I156" s="4">
        <v>249.99</v>
      </c>
      <c r="J156" s="2" t="s">
        <v>38</v>
      </c>
      <c r="K156" s="2" t="s">
        <v>8</v>
      </c>
      <c r="L156" s="2" t="s">
        <v>17</v>
      </c>
      <c r="M156" s="3">
        <v>44485</v>
      </c>
      <c r="N156" s="4">
        <v>1249.95</v>
      </c>
    </row>
    <row r="157" spans="1:14" ht="15" customHeight="1" x14ac:dyDescent="0.35">
      <c r="A157" s="2" t="s">
        <v>306</v>
      </c>
      <c r="B157" s="3">
        <v>45627</v>
      </c>
      <c r="C157" s="2" t="s">
        <v>40</v>
      </c>
      <c r="D157" s="2" t="s">
        <v>41</v>
      </c>
      <c r="E157" s="2" t="s">
        <v>61</v>
      </c>
      <c r="F157" s="2" t="s">
        <v>62</v>
      </c>
      <c r="G157" s="2" t="s">
        <v>13</v>
      </c>
      <c r="H157" s="2">
        <v>2</v>
      </c>
      <c r="I157" s="4">
        <v>149.99</v>
      </c>
      <c r="J157" s="2" t="s">
        <v>38</v>
      </c>
      <c r="K157" s="2" t="s">
        <v>18</v>
      </c>
      <c r="L157" s="2" t="s">
        <v>17</v>
      </c>
      <c r="M157" s="3">
        <v>44475</v>
      </c>
      <c r="N157" s="4">
        <v>299.98</v>
      </c>
    </row>
    <row r="158" spans="1:14" ht="15" customHeight="1" x14ac:dyDescent="0.35">
      <c r="A158" s="2" t="s">
        <v>307</v>
      </c>
      <c r="B158" s="3">
        <v>45627</v>
      </c>
      <c r="C158" s="2" t="s">
        <v>94</v>
      </c>
      <c r="D158" s="2" t="s">
        <v>95</v>
      </c>
      <c r="E158" s="2" t="s">
        <v>88</v>
      </c>
      <c r="F158" s="2" t="s">
        <v>89</v>
      </c>
      <c r="G158" s="2" t="s">
        <v>13</v>
      </c>
      <c r="H158" s="2">
        <v>5</v>
      </c>
      <c r="I158" s="4">
        <v>699.99</v>
      </c>
      <c r="J158" s="2" t="s">
        <v>66</v>
      </c>
      <c r="K158" s="2" t="s">
        <v>19</v>
      </c>
      <c r="L158" s="2" t="s">
        <v>14</v>
      </c>
      <c r="M158" s="3">
        <v>44944</v>
      </c>
      <c r="N158" s="4">
        <v>3499.95</v>
      </c>
    </row>
    <row r="159" spans="1:14" ht="15" customHeight="1" x14ac:dyDescent="0.35">
      <c r="A159" s="2" t="s">
        <v>308</v>
      </c>
      <c r="B159" s="3">
        <v>45629</v>
      </c>
      <c r="C159" s="2" t="s">
        <v>260</v>
      </c>
      <c r="D159" s="2" t="s">
        <v>261</v>
      </c>
      <c r="E159" s="2" t="s">
        <v>36</v>
      </c>
      <c r="F159" s="2" t="s">
        <v>37</v>
      </c>
      <c r="G159" s="2" t="s">
        <v>13</v>
      </c>
      <c r="H159" s="2">
        <v>4</v>
      </c>
      <c r="I159" s="4">
        <v>249.99</v>
      </c>
      <c r="J159" s="2" t="s">
        <v>48</v>
      </c>
      <c r="K159" s="2" t="s">
        <v>12</v>
      </c>
      <c r="L159" s="2" t="s">
        <v>17</v>
      </c>
      <c r="M159" s="3">
        <v>45098</v>
      </c>
      <c r="N159" s="4">
        <v>999.96</v>
      </c>
    </row>
    <row r="160" spans="1:14" ht="15" customHeight="1" x14ac:dyDescent="0.35">
      <c r="A160" s="2" t="s">
        <v>309</v>
      </c>
      <c r="B160" s="3">
        <v>45630</v>
      </c>
      <c r="C160" s="2" t="s">
        <v>58</v>
      </c>
      <c r="D160" s="2" t="s">
        <v>59</v>
      </c>
      <c r="E160" s="2" t="s">
        <v>88</v>
      </c>
      <c r="F160" s="2" t="s">
        <v>89</v>
      </c>
      <c r="G160" s="2" t="s">
        <v>13</v>
      </c>
      <c r="H160" s="2">
        <v>4</v>
      </c>
      <c r="I160" s="4">
        <v>699.99</v>
      </c>
      <c r="J160" s="2" t="s">
        <v>42</v>
      </c>
      <c r="K160" s="2" t="s">
        <v>15</v>
      </c>
      <c r="L160" s="2" t="s">
        <v>17</v>
      </c>
      <c r="M160" s="3">
        <v>44703</v>
      </c>
      <c r="N160" s="4">
        <v>2799.96</v>
      </c>
    </row>
    <row r="161" spans="1:14" ht="15" customHeight="1" x14ac:dyDescent="0.35">
      <c r="A161" s="2" t="s">
        <v>310</v>
      </c>
      <c r="B161" s="3">
        <v>45635</v>
      </c>
      <c r="C161" s="2" t="s">
        <v>116</v>
      </c>
      <c r="D161" s="2" t="s">
        <v>117</v>
      </c>
      <c r="E161" s="2" t="s">
        <v>36</v>
      </c>
      <c r="F161" s="2" t="s">
        <v>37</v>
      </c>
      <c r="G161" s="2" t="s">
        <v>13</v>
      </c>
      <c r="H161" s="2">
        <v>2</v>
      </c>
      <c r="I161" s="4">
        <v>249.99</v>
      </c>
      <c r="J161" s="2" t="s">
        <v>42</v>
      </c>
      <c r="K161" s="2" t="s">
        <v>8</v>
      </c>
      <c r="L161" s="2" t="s">
        <v>17</v>
      </c>
      <c r="M161" s="3">
        <v>44396</v>
      </c>
      <c r="N161" s="4">
        <v>499.98</v>
      </c>
    </row>
    <row r="162" spans="1:14" ht="15" customHeight="1" x14ac:dyDescent="0.35">
      <c r="A162" s="2" t="s">
        <v>311</v>
      </c>
      <c r="B162" s="3">
        <v>45635</v>
      </c>
      <c r="C162" s="2" t="s">
        <v>312</v>
      </c>
      <c r="D162" s="2" t="s">
        <v>313</v>
      </c>
      <c r="E162" s="2" t="s">
        <v>46</v>
      </c>
      <c r="F162" s="2" t="s">
        <v>47</v>
      </c>
      <c r="G162" s="2" t="s">
        <v>9</v>
      </c>
      <c r="H162" s="2">
        <v>3</v>
      </c>
      <c r="I162" s="4">
        <v>59.99</v>
      </c>
      <c r="J162" s="2" t="s">
        <v>38</v>
      </c>
      <c r="K162" s="2" t="s">
        <v>8</v>
      </c>
      <c r="L162" s="2" t="s">
        <v>17</v>
      </c>
      <c r="M162" s="3">
        <v>45052</v>
      </c>
      <c r="N162" s="4">
        <v>179.97</v>
      </c>
    </row>
    <row r="163" spans="1:14" ht="15" customHeight="1" x14ac:dyDescent="0.35">
      <c r="A163" s="2" t="s">
        <v>314</v>
      </c>
      <c r="B163" s="3">
        <v>45635</v>
      </c>
      <c r="C163" s="2" t="s">
        <v>149</v>
      </c>
      <c r="D163" s="2" t="s">
        <v>150</v>
      </c>
      <c r="E163" s="2" t="s">
        <v>122</v>
      </c>
      <c r="F163" s="2" t="s">
        <v>123</v>
      </c>
      <c r="G163" s="2" t="s">
        <v>9</v>
      </c>
      <c r="H163" s="2">
        <v>4</v>
      </c>
      <c r="I163" s="4">
        <v>79.989999999999995</v>
      </c>
      <c r="J163" s="2" t="s">
        <v>66</v>
      </c>
      <c r="K163" s="2" t="s">
        <v>12</v>
      </c>
      <c r="L163" s="2" t="s">
        <v>14</v>
      </c>
      <c r="M163" s="3">
        <v>44921</v>
      </c>
      <c r="N163" s="4">
        <v>319.95999999999998</v>
      </c>
    </row>
    <row r="164" spans="1:14" ht="15" customHeight="1" x14ac:dyDescent="0.35">
      <c r="A164" s="2" t="s">
        <v>315</v>
      </c>
      <c r="B164" s="3">
        <v>45636</v>
      </c>
      <c r="C164" s="2" t="s">
        <v>128</v>
      </c>
      <c r="D164" s="2" t="s">
        <v>129</v>
      </c>
      <c r="E164" s="2" t="s">
        <v>122</v>
      </c>
      <c r="F164" s="2" t="s">
        <v>123</v>
      </c>
      <c r="G164" s="2" t="s">
        <v>9</v>
      </c>
      <c r="H164" s="2">
        <v>3</v>
      </c>
      <c r="I164" s="4">
        <v>79.989999999999995</v>
      </c>
      <c r="J164" s="2" t="s">
        <v>66</v>
      </c>
      <c r="K164" s="2" t="s">
        <v>12</v>
      </c>
      <c r="L164" s="2" t="s">
        <v>14</v>
      </c>
      <c r="M164" s="3">
        <v>44779</v>
      </c>
      <c r="N164" s="4">
        <v>239.97</v>
      </c>
    </row>
    <row r="165" spans="1:14" ht="15" customHeight="1" x14ac:dyDescent="0.35">
      <c r="A165" s="2" t="s">
        <v>316</v>
      </c>
      <c r="B165" s="3">
        <v>45638</v>
      </c>
      <c r="C165" s="2" t="s">
        <v>80</v>
      </c>
      <c r="D165" s="2" t="s">
        <v>81</v>
      </c>
      <c r="E165" s="2" t="s">
        <v>70</v>
      </c>
      <c r="F165" s="2" t="s">
        <v>71</v>
      </c>
      <c r="G165" s="2" t="s">
        <v>13</v>
      </c>
      <c r="H165" s="2">
        <v>2</v>
      </c>
      <c r="I165" s="4">
        <v>899.99</v>
      </c>
      <c r="J165" s="2" t="s">
        <v>38</v>
      </c>
      <c r="K165" s="2" t="s">
        <v>15</v>
      </c>
      <c r="L165" s="2" t="s">
        <v>10</v>
      </c>
      <c r="M165" s="3">
        <v>44406</v>
      </c>
      <c r="N165" s="4">
        <v>1799.98</v>
      </c>
    </row>
    <row r="166" spans="1:14" ht="15" customHeight="1" x14ac:dyDescent="0.35">
      <c r="A166" s="2" t="s">
        <v>317</v>
      </c>
      <c r="B166" s="3">
        <v>45641</v>
      </c>
      <c r="C166" s="2" t="s">
        <v>190</v>
      </c>
      <c r="D166" s="2" t="s">
        <v>191</v>
      </c>
      <c r="E166" s="2" t="s">
        <v>55</v>
      </c>
      <c r="F166" s="2" t="s">
        <v>56</v>
      </c>
      <c r="G166" s="2" t="s">
        <v>16</v>
      </c>
      <c r="H166" s="2">
        <v>1</v>
      </c>
      <c r="I166" s="4">
        <v>149.99</v>
      </c>
      <c r="J166" s="2" t="s">
        <v>66</v>
      </c>
      <c r="K166" s="2" t="s">
        <v>12</v>
      </c>
      <c r="L166" s="2" t="s">
        <v>14</v>
      </c>
      <c r="M166" s="3">
        <v>45200</v>
      </c>
      <c r="N166" s="4">
        <v>149.99</v>
      </c>
    </row>
    <row r="167" spans="1:14" ht="15" customHeight="1" x14ac:dyDescent="0.35">
      <c r="A167" s="2" t="s">
        <v>318</v>
      </c>
      <c r="B167" s="3">
        <v>45641</v>
      </c>
      <c r="C167" s="2" t="s">
        <v>146</v>
      </c>
      <c r="D167" s="2" t="s">
        <v>147</v>
      </c>
      <c r="E167" s="2" t="s">
        <v>113</v>
      </c>
      <c r="F167" s="2" t="s">
        <v>114</v>
      </c>
      <c r="G167" s="2" t="s">
        <v>16</v>
      </c>
      <c r="H167" s="2">
        <v>2</v>
      </c>
      <c r="I167" s="4">
        <v>299.99</v>
      </c>
      <c r="J167" s="2" t="s">
        <v>38</v>
      </c>
      <c r="K167" s="2" t="s">
        <v>12</v>
      </c>
      <c r="L167" s="2" t="s">
        <v>17</v>
      </c>
      <c r="M167" s="3">
        <v>44724</v>
      </c>
      <c r="N167" s="4">
        <v>599.98</v>
      </c>
    </row>
    <row r="168" spans="1:14" ht="15" customHeight="1" x14ac:dyDescent="0.35">
      <c r="A168" s="2" t="s">
        <v>319</v>
      </c>
      <c r="B168" s="3">
        <v>45644</v>
      </c>
      <c r="C168" s="2" t="s">
        <v>140</v>
      </c>
      <c r="D168" s="2" t="s">
        <v>141</v>
      </c>
      <c r="E168" s="2" t="s">
        <v>46</v>
      </c>
      <c r="F168" s="2" t="s">
        <v>47</v>
      </c>
      <c r="G168" s="2" t="s">
        <v>9</v>
      </c>
      <c r="H168" s="2">
        <v>2</v>
      </c>
      <c r="I168" s="4">
        <v>59.99</v>
      </c>
      <c r="J168" s="2" t="s">
        <v>38</v>
      </c>
      <c r="K168" s="2" t="s">
        <v>19</v>
      </c>
      <c r="L168" s="2" t="s">
        <v>10</v>
      </c>
      <c r="M168" s="3">
        <v>45191</v>
      </c>
      <c r="N168" s="4">
        <v>119.98</v>
      </c>
    </row>
    <row r="169" spans="1:14" ht="15" customHeight="1" x14ac:dyDescent="0.35">
      <c r="A169" s="2" t="s">
        <v>320</v>
      </c>
      <c r="B169" s="3">
        <v>45645</v>
      </c>
      <c r="C169" s="2" t="s">
        <v>190</v>
      </c>
      <c r="D169" s="2" t="s">
        <v>191</v>
      </c>
      <c r="E169" s="2" t="s">
        <v>125</v>
      </c>
      <c r="F169" s="2" t="s">
        <v>126</v>
      </c>
      <c r="G169" s="2" t="s">
        <v>13</v>
      </c>
      <c r="H169" s="2">
        <v>1</v>
      </c>
      <c r="I169" s="4">
        <v>89.99</v>
      </c>
      <c r="J169" s="2" t="s">
        <v>66</v>
      </c>
      <c r="K169" s="2" t="s">
        <v>8</v>
      </c>
      <c r="L169" s="2" t="s">
        <v>14</v>
      </c>
      <c r="M169" s="3">
        <v>44760</v>
      </c>
      <c r="N169" s="4">
        <v>89.99</v>
      </c>
    </row>
    <row r="170" spans="1:14" ht="15" customHeight="1" x14ac:dyDescent="0.35">
      <c r="A170" s="2" t="s">
        <v>321</v>
      </c>
      <c r="B170" s="3">
        <v>45645</v>
      </c>
      <c r="C170" s="2" t="s">
        <v>155</v>
      </c>
      <c r="D170" s="2" t="s">
        <v>156</v>
      </c>
      <c r="E170" s="2" t="s">
        <v>70</v>
      </c>
      <c r="F170" s="2" t="s">
        <v>71</v>
      </c>
      <c r="G170" s="2" t="s">
        <v>13</v>
      </c>
      <c r="H170" s="2">
        <v>5</v>
      </c>
      <c r="I170" s="4">
        <v>899.99</v>
      </c>
      <c r="J170" s="2" t="s">
        <v>66</v>
      </c>
      <c r="K170" s="2" t="s">
        <v>12</v>
      </c>
      <c r="L170" s="2" t="s">
        <v>14</v>
      </c>
      <c r="M170" s="3">
        <v>44625</v>
      </c>
      <c r="N170" s="4">
        <v>4499.95</v>
      </c>
    </row>
    <row r="171" spans="1:14" ht="15" customHeight="1" x14ac:dyDescent="0.35">
      <c r="A171" s="2" t="s">
        <v>322</v>
      </c>
      <c r="B171" s="3">
        <v>45646</v>
      </c>
      <c r="C171" s="2" t="s">
        <v>53</v>
      </c>
      <c r="D171" s="2" t="s">
        <v>54</v>
      </c>
      <c r="E171" s="2" t="s">
        <v>55</v>
      </c>
      <c r="F171" s="2" t="s">
        <v>56</v>
      </c>
      <c r="G171" s="2" t="s">
        <v>16</v>
      </c>
      <c r="H171" s="2">
        <v>2</v>
      </c>
      <c r="I171" s="4">
        <v>149.99</v>
      </c>
      <c r="J171" s="2" t="s">
        <v>38</v>
      </c>
      <c r="K171" s="2" t="s">
        <v>18</v>
      </c>
      <c r="L171" s="2" t="s">
        <v>10</v>
      </c>
      <c r="M171" s="3">
        <v>45239</v>
      </c>
      <c r="N171" s="4">
        <v>299.98</v>
      </c>
    </row>
    <row r="172" spans="1:14" ht="15" customHeight="1" x14ac:dyDescent="0.35">
      <c r="A172" s="2" t="s">
        <v>323</v>
      </c>
      <c r="B172" s="3">
        <v>45648</v>
      </c>
      <c r="C172" s="2" t="s">
        <v>120</v>
      </c>
      <c r="D172" s="2" t="s">
        <v>121</v>
      </c>
      <c r="E172" s="2" t="s">
        <v>61</v>
      </c>
      <c r="F172" s="2" t="s">
        <v>62</v>
      </c>
      <c r="G172" s="2" t="s">
        <v>13</v>
      </c>
      <c r="H172" s="2">
        <v>2</v>
      </c>
      <c r="I172" s="4">
        <v>149.99</v>
      </c>
      <c r="J172" s="2" t="s">
        <v>66</v>
      </c>
      <c r="K172" s="2" t="s">
        <v>19</v>
      </c>
      <c r="L172" s="2" t="s">
        <v>17</v>
      </c>
      <c r="M172" s="3">
        <v>45280</v>
      </c>
      <c r="N172" s="4">
        <v>299.98</v>
      </c>
    </row>
    <row r="173" spans="1:14" ht="15" customHeight="1" x14ac:dyDescent="0.35">
      <c r="A173" s="2" t="s">
        <v>324</v>
      </c>
      <c r="B173" s="3">
        <v>45648</v>
      </c>
      <c r="C173" s="2" t="s">
        <v>190</v>
      </c>
      <c r="D173" s="2" t="s">
        <v>191</v>
      </c>
      <c r="E173" s="2" t="s">
        <v>55</v>
      </c>
      <c r="F173" s="2" t="s">
        <v>56</v>
      </c>
      <c r="G173" s="2" t="s">
        <v>16</v>
      </c>
      <c r="H173" s="2">
        <v>3</v>
      </c>
      <c r="I173" s="4">
        <v>149.99</v>
      </c>
      <c r="J173" s="2" t="s">
        <v>66</v>
      </c>
      <c r="K173" s="2" t="s">
        <v>15</v>
      </c>
      <c r="L173" s="2" t="s">
        <v>14</v>
      </c>
      <c r="M173" s="3">
        <v>44522</v>
      </c>
      <c r="N173" s="4">
        <v>449.97</v>
      </c>
    </row>
    <row r="174" spans="1:14" ht="15" customHeight="1" x14ac:dyDescent="0.35">
      <c r="A174" s="2" t="s">
        <v>325</v>
      </c>
      <c r="B174" s="3">
        <v>45649</v>
      </c>
      <c r="C174" s="2" t="s">
        <v>44</v>
      </c>
      <c r="D174" s="2" t="s">
        <v>45</v>
      </c>
      <c r="E174" s="2" t="s">
        <v>113</v>
      </c>
      <c r="F174" s="2" t="s">
        <v>114</v>
      </c>
      <c r="G174" s="2" t="s">
        <v>16</v>
      </c>
      <c r="H174" s="2">
        <v>2</v>
      </c>
      <c r="I174" s="4">
        <v>299.99</v>
      </c>
      <c r="J174" s="2" t="s">
        <v>48</v>
      </c>
      <c r="K174" s="2" t="s">
        <v>18</v>
      </c>
      <c r="L174" s="2" t="s">
        <v>10</v>
      </c>
      <c r="M174" s="3">
        <v>44721</v>
      </c>
      <c r="N174" s="4">
        <v>599.98</v>
      </c>
    </row>
    <row r="175" spans="1:14" ht="15" customHeight="1" x14ac:dyDescent="0.35">
      <c r="A175" s="2" t="s">
        <v>326</v>
      </c>
      <c r="B175" s="3">
        <v>45654</v>
      </c>
      <c r="C175" s="2" t="s">
        <v>53</v>
      </c>
      <c r="D175" s="2" t="s">
        <v>54</v>
      </c>
      <c r="E175" s="2" t="s">
        <v>113</v>
      </c>
      <c r="F175" s="2" t="s">
        <v>114</v>
      </c>
      <c r="G175" s="2" t="s">
        <v>16</v>
      </c>
      <c r="H175" s="2">
        <v>2</v>
      </c>
      <c r="I175" s="4">
        <v>299.99</v>
      </c>
      <c r="J175" s="2" t="s">
        <v>38</v>
      </c>
      <c r="K175" s="2" t="s">
        <v>19</v>
      </c>
      <c r="L175" s="2" t="s">
        <v>10</v>
      </c>
      <c r="M175" s="3">
        <v>44771</v>
      </c>
      <c r="N175" s="4">
        <v>599.98</v>
      </c>
    </row>
    <row r="176" spans="1:14" ht="15" customHeight="1" x14ac:dyDescent="0.35">
      <c r="A176" s="2" t="s">
        <v>327</v>
      </c>
      <c r="B176" s="3">
        <v>45654</v>
      </c>
      <c r="C176" s="2" t="s">
        <v>128</v>
      </c>
      <c r="D176" s="2" t="s">
        <v>129</v>
      </c>
      <c r="E176" s="2" t="s">
        <v>134</v>
      </c>
      <c r="F176" s="2" t="s">
        <v>135</v>
      </c>
      <c r="G176" s="2" t="s">
        <v>16</v>
      </c>
      <c r="H176" s="2">
        <v>4</v>
      </c>
      <c r="I176" s="4">
        <v>199.99</v>
      </c>
      <c r="J176" s="2" t="s">
        <v>42</v>
      </c>
      <c r="K176" s="2" t="s">
        <v>8</v>
      </c>
      <c r="L176" s="2" t="s">
        <v>10</v>
      </c>
      <c r="M176" s="3">
        <v>44523</v>
      </c>
      <c r="N176" s="4">
        <v>799.96</v>
      </c>
    </row>
    <row r="177" spans="1:14" ht="15" customHeight="1" x14ac:dyDescent="0.35">
      <c r="A177" s="2" t="s">
        <v>328</v>
      </c>
      <c r="B177" s="3">
        <v>45655</v>
      </c>
      <c r="C177" s="2" t="s">
        <v>68</v>
      </c>
      <c r="D177" s="2" t="s">
        <v>69</v>
      </c>
      <c r="E177" s="2" t="s">
        <v>125</v>
      </c>
      <c r="F177" s="2" t="s">
        <v>126</v>
      </c>
      <c r="G177" s="2" t="s">
        <v>13</v>
      </c>
      <c r="H177" s="2">
        <v>1</v>
      </c>
      <c r="I177" s="4">
        <v>89.99</v>
      </c>
      <c r="J177" s="2" t="s">
        <v>42</v>
      </c>
      <c r="K177" s="2" t="s">
        <v>18</v>
      </c>
      <c r="L177" s="2" t="s">
        <v>17</v>
      </c>
      <c r="M177" s="3">
        <v>44591</v>
      </c>
      <c r="N177" s="4">
        <v>89.99</v>
      </c>
    </row>
    <row r="178" spans="1:14" ht="15" customHeight="1" x14ac:dyDescent="0.35">
      <c r="A178" s="2" t="s">
        <v>329</v>
      </c>
      <c r="B178" s="3">
        <v>45655</v>
      </c>
      <c r="C178" s="2" t="s">
        <v>116</v>
      </c>
      <c r="D178" s="2" t="s">
        <v>117</v>
      </c>
      <c r="E178" s="2" t="s">
        <v>55</v>
      </c>
      <c r="F178" s="2" t="s">
        <v>56</v>
      </c>
      <c r="G178" s="2" t="s">
        <v>16</v>
      </c>
      <c r="H178" s="2">
        <v>5</v>
      </c>
      <c r="I178" s="4">
        <v>149.99</v>
      </c>
      <c r="J178" s="2" t="s">
        <v>38</v>
      </c>
      <c r="K178" s="2" t="s">
        <v>8</v>
      </c>
      <c r="L178" s="2" t="s">
        <v>17</v>
      </c>
      <c r="M178" s="3">
        <v>45347</v>
      </c>
      <c r="N178" s="4">
        <v>749.95</v>
      </c>
    </row>
    <row r="179" spans="1:14" ht="15" customHeight="1" x14ac:dyDescent="0.35">
      <c r="A179" s="2" t="s">
        <v>330</v>
      </c>
      <c r="B179" s="3">
        <v>45657</v>
      </c>
      <c r="C179" s="2" t="s">
        <v>94</v>
      </c>
      <c r="D179" s="2" t="s">
        <v>95</v>
      </c>
      <c r="E179" s="2" t="s">
        <v>70</v>
      </c>
      <c r="F179" s="2" t="s">
        <v>71</v>
      </c>
      <c r="G179" s="2" t="s">
        <v>13</v>
      </c>
      <c r="H179" s="2">
        <v>1</v>
      </c>
      <c r="I179" s="4">
        <v>899.99</v>
      </c>
      <c r="J179" s="2" t="s">
        <v>48</v>
      </c>
      <c r="K179" s="2" t="s">
        <v>15</v>
      </c>
      <c r="L179" s="2" t="s">
        <v>17</v>
      </c>
      <c r="M179" s="3">
        <v>45050</v>
      </c>
      <c r="N179" s="4">
        <v>899.99</v>
      </c>
    </row>
    <row r="180" spans="1:14" ht="15" customHeight="1" x14ac:dyDescent="0.35">
      <c r="A180" s="2" t="s">
        <v>331</v>
      </c>
      <c r="B180" s="3">
        <v>45660</v>
      </c>
      <c r="C180" s="2" t="s">
        <v>155</v>
      </c>
      <c r="D180" s="2" t="s">
        <v>156</v>
      </c>
      <c r="E180" s="2" t="s">
        <v>125</v>
      </c>
      <c r="F180" s="2" t="s">
        <v>126</v>
      </c>
      <c r="G180" s="2" t="s">
        <v>13</v>
      </c>
      <c r="H180" s="2">
        <v>2</v>
      </c>
      <c r="I180" s="4">
        <v>89.99</v>
      </c>
      <c r="J180" s="2" t="s">
        <v>42</v>
      </c>
      <c r="K180" s="2" t="s">
        <v>18</v>
      </c>
      <c r="L180" s="2" t="s">
        <v>17</v>
      </c>
      <c r="M180" s="3">
        <v>44564</v>
      </c>
      <c r="N180" s="4">
        <v>179.98</v>
      </c>
    </row>
    <row r="181" spans="1:14" ht="15" customHeight="1" x14ac:dyDescent="0.35">
      <c r="A181" s="2" t="s">
        <v>332</v>
      </c>
      <c r="B181" s="3">
        <v>45661</v>
      </c>
      <c r="C181" s="2" t="s">
        <v>333</v>
      </c>
      <c r="D181" s="2" t="s">
        <v>334</v>
      </c>
      <c r="E181" s="2" t="s">
        <v>70</v>
      </c>
      <c r="F181" s="2" t="s">
        <v>71</v>
      </c>
      <c r="G181" s="2" t="s">
        <v>13</v>
      </c>
      <c r="H181" s="2">
        <v>1</v>
      </c>
      <c r="I181" s="4">
        <v>899.99</v>
      </c>
      <c r="J181" s="2" t="s">
        <v>48</v>
      </c>
      <c r="K181" s="2" t="s">
        <v>15</v>
      </c>
      <c r="L181" s="2" t="s">
        <v>14</v>
      </c>
      <c r="M181" s="3">
        <v>44752</v>
      </c>
      <c r="N181" s="4">
        <v>899.99</v>
      </c>
    </row>
    <row r="182" spans="1:14" ht="15" customHeight="1" x14ac:dyDescent="0.35">
      <c r="A182" s="2" t="s">
        <v>335</v>
      </c>
      <c r="B182" s="3">
        <v>45663</v>
      </c>
      <c r="C182" s="2" t="s">
        <v>137</v>
      </c>
      <c r="D182" s="2" t="s">
        <v>138</v>
      </c>
      <c r="E182" s="2" t="s">
        <v>61</v>
      </c>
      <c r="F182" s="2" t="s">
        <v>62</v>
      </c>
      <c r="G182" s="2" t="s">
        <v>13</v>
      </c>
      <c r="H182" s="2">
        <v>5</v>
      </c>
      <c r="I182" s="4">
        <v>149.99</v>
      </c>
      <c r="J182" s="2" t="s">
        <v>48</v>
      </c>
      <c r="K182" s="2" t="s">
        <v>12</v>
      </c>
      <c r="L182" s="2" t="s">
        <v>17</v>
      </c>
      <c r="M182" s="3">
        <v>44824</v>
      </c>
      <c r="N182" s="4">
        <v>749.95</v>
      </c>
    </row>
    <row r="183" spans="1:14" ht="15" customHeight="1" x14ac:dyDescent="0.35">
      <c r="A183" s="2" t="s">
        <v>336</v>
      </c>
      <c r="B183" s="3">
        <v>45663</v>
      </c>
      <c r="C183" s="2" t="s">
        <v>53</v>
      </c>
      <c r="D183" s="2" t="s">
        <v>54</v>
      </c>
      <c r="E183" s="2" t="s">
        <v>113</v>
      </c>
      <c r="F183" s="2" t="s">
        <v>114</v>
      </c>
      <c r="G183" s="2" t="s">
        <v>16</v>
      </c>
      <c r="H183" s="2">
        <v>3</v>
      </c>
      <c r="I183" s="4">
        <v>299.99</v>
      </c>
      <c r="J183" s="2" t="s">
        <v>38</v>
      </c>
      <c r="K183" s="2" t="s">
        <v>18</v>
      </c>
      <c r="L183" s="2" t="s">
        <v>14</v>
      </c>
      <c r="M183" s="3">
        <v>44422</v>
      </c>
      <c r="N183" s="4">
        <v>899.97</v>
      </c>
    </row>
    <row r="184" spans="1:14" ht="15" customHeight="1" x14ac:dyDescent="0.35">
      <c r="A184" s="2" t="s">
        <v>337</v>
      </c>
      <c r="B184" s="3">
        <v>45666</v>
      </c>
      <c r="C184" s="2" t="s">
        <v>73</v>
      </c>
      <c r="D184" s="2" t="s">
        <v>74</v>
      </c>
      <c r="E184" s="2" t="s">
        <v>88</v>
      </c>
      <c r="F184" s="2" t="s">
        <v>89</v>
      </c>
      <c r="G184" s="2" t="s">
        <v>13</v>
      </c>
      <c r="H184" s="2">
        <v>3</v>
      </c>
      <c r="I184" s="4">
        <v>699.99</v>
      </c>
      <c r="J184" s="2" t="s">
        <v>42</v>
      </c>
      <c r="K184" s="2" t="s">
        <v>8</v>
      </c>
      <c r="L184" s="2" t="s">
        <v>17</v>
      </c>
      <c r="M184" s="3">
        <v>45105</v>
      </c>
      <c r="N184" s="4">
        <v>2099.9699999999998</v>
      </c>
    </row>
    <row r="185" spans="1:14" ht="15" customHeight="1" x14ac:dyDescent="0.35">
      <c r="A185" s="2" t="s">
        <v>338</v>
      </c>
      <c r="B185" s="3">
        <v>45667</v>
      </c>
      <c r="C185" s="2" t="s">
        <v>116</v>
      </c>
      <c r="D185" s="2" t="s">
        <v>117</v>
      </c>
      <c r="E185" s="2" t="s">
        <v>134</v>
      </c>
      <c r="F185" s="2" t="s">
        <v>135</v>
      </c>
      <c r="G185" s="2" t="s">
        <v>16</v>
      </c>
      <c r="H185" s="2">
        <v>5</v>
      </c>
      <c r="I185" s="4">
        <v>199.99</v>
      </c>
      <c r="J185" s="2" t="s">
        <v>48</v>
      </c>
      <c r="K185" s="2" t="s">
        <v>8</v>
      </c>
      <c r="L185" s="2" t="s">
        <v>14</v>
      </c>
      <c r="M185" s="3">
        <v>44633</v>
      </c>
      <c r="N185" s="4">
        <v>999.95</v>
      </c>
    </row>
    <row r="186" spans="1:14" ht="15" customHeight="1" x14ac:dyDescent="0.35">
      <c r="A186" s="2" t="s">
        <v>339</v>
      </c>
      <c r="B186" s="3">
        <v>45667</v>
      </c>
      <c r="C186" s="2" t="s">
        <v>101</v>
      </c>
      <c r="D186" s="2" t="s">
        <v>102</v>
      </c>
      <c r="E186" s="2" t="s">
        <v>36</v>
      </c>
      <c r="F186" s="2" t="s">
        <v>37</v>
      </c>
      <c r="G186" s="2" t="s">
        <v>13</v>
      </c>
      <c r="H186" s="2">
        <v>5</v>
      </c>
      <c r="I186" s="4">
        <v>249.99</v>
      </c>
      <c r="J186" s="2" t="s">
        <v>42</v>
      </c>
      <c r="K186" s="2" t="s">
        <v>18</v>
      </c>
      <c r="L186" s="2" t="s">
        <v>10</v>
      </c>
      <c r="M186" s="3">
        <v>45330</v>
      </c>
      <c r="N186" s="4">
        <v>1249.95</v>
      </c>
    </row>
    <row r="187" spans="1:14" ht="15" customHeight="1" x14ac:dyDescent="0.35">
      <c r="A187" s="2" t="s">
        <v>340</v>
      </c>
      <c r="B187" s="3">
        <v>45668</v>
      </c>
      <c r="C187" s="2" t="s">
        <v>146</v>
      </c>
      <c r="D187" s="2" t="s">
        <v>147</v>
      </c>
      <c r="E187" s="2" t="s">
        <v>61</v>
      </c>
      <c r="F187" s="2" t="s">
        <v>62</v>
      </c>
      <c r="G187" s="2" t="s">
        <v>13</v>
      </c>
      <c r="H187" s="2">
        <v>4</v>
      </c>
      <c r="I187" s="4">
        <v>149.99</v>
      </c>
      <c r="J187" s="2" t="s">
        <v>66</v>
      </c>
      <c r="K187" s="2" t="s">
        <v>12</v>
      </c>
      <c r="L187" s="2" t="s">
        <v>14</v>
      </c>
      <c r="M187" s="3">
        <v>44536</v>
      </c>
      <c r="N187" s="4">
        <v>599.96</v>
      </c>
    </row>
    <row r="188" spans="1:14" ht="15" customHeight="1" x14ac:dyDescent="0.35">
      <c r="A188" s="2" t="s">
        <v>341</v>
      </c>
      <c r="B188" s="3">
        <v>45668</v>
      </c>
      <c r="C188" s="2" t="s">
        <v>86</v>
      </c>
      <c r="D188" s="2" t="s">
        <v>87</v>
      </c>
      <c r="E188" s="2" t="s">
        <v>88</v>
      </c>
      <c r="F188" s="2" t="s">
        <v>89</v>
      </c>
      <c r="G188" s="2" t="s">
        <v>13</v>
      </c>
      <c r="H188" s="2">
        <v>3</v>
      </c>
      <c r="I188" s="4">
        <v>699.99</v>
      </c>
      <c r="J188" s="2" t="s">
        <v>38</v>
      </c>
      <c r="K188" s="2" t="s">
        <v>15</v>
      </c>
      <c r="L188" s="2" t="s">
        <v>17</v>
      </c>
      <c r="M188" s="3">
        <v>44602</v>
      </c>
      <c r="N188" s="4">
        <v>2099.9699999999998</v>
      </c>
    </row>
    <row r="189" spans="1:14" ht="15" customHeight="1" x14ac:dyDescent="0.35">
      <c r="A189" s="2" t="s">
        <v>342</v>
      </c>
      <c r="B189" s="3">
        <v>45670</v>
      </c>
      <c r="C189" s="2" t="s">
        <v>301</v>
      </c>
      <c r="D189" s="2" t="s">
        <v>302</v>
      </c>
      <c r="E189" s="2" t="s">
        <v>122</v>
      </c>
      <c r="F189" s="2" t="s">
        <v>123</v>
      </c>
      <c r="G189" s="2" t="s">
        <v>9</v>
      </c>
      <c r="H189" s="2">
        <v>1</v>
      </c>
      <c r="I189" s="4">
        <v>79.989999999999995</v>
      </c>
      <c r="J189" s="2" t="s">
        <v>42</v>
      </c>
      <c r="K189" s="2" t="s">
        <v>18</v>
      </c>
      <c r="L189" s="2" t="s">
        <v>10</v>
      </c>
      <c r="M189" s="3">
        <v>45322</v>
      </c>
      <c r="N189" s="4">
        <v>79.989999999999995</v>
      </c>
    </row>
    <row r="190" spans="1:14" ht="15" customHeight="1" x14ac:dyDescent="0.35">
      <c r="A190" s="2" t="s">
        <v>343</v>
      </c>
      <c r="B190" s="3">
        <v>45670</v>
      </c>
      <c r="C190" s="2" t="s">
        <v>94</v>
      </c>
      <c r="D190" s="2" t="s">
        <v>95</v>
      </c>
      <c r="E190" s="2" t="s">
        <v>113</v>
      </c>
      <c r="F190" s="2" t="s">
        <v>114</v>
      </c>
      <c r="G190" s="2" t="s">
        <v>16</v>
      </c>
      <c r="H190" s="2">
        <v>1</v>
      </c>
      <c r="I190" s="4">
        <v>299.99</v>
      </c>
      <c r="J190" s="2" t="s">
        <v>42</v>
      </c>
      <c r="K190" s="2" t="s">
        <v>15</v>
      </c>
      <c r="L190" s="2" t="s">
        <v>10</v>
      </c>
      <c r="M190" s="3">
        <v>44436</v>
      </c>
      <c r="N190" s="4">
        <v>299.99</v>
      </c>
    </row>
    <row r="191" spans="1:14" ht="15" customHeight="1" x14ac:dyDescent="0.35">
      <c r="A191" s="2" t="s">
        <v>344</v>
      </c>
      <c r="B191" s="3">
        <v>45671</v>
      </c>
      <c r="C191" s="2" t="s">
        <v>166</v>
      </c>
      <c r="D191" s="2" t="s">
        <v>167</v>
      </c>
      <c r="E191" s="2" t="s">
        <v>36</v>
      </c>
      <c r="F191" s="2" t="s">
        <v>37</v>
      </c>
      <c r="G191" s="2" t="s">
        <v>13</v>
      </c>
      <c r="H191" s="2">
        <v>4</v>
      </c>
      <c r="I191" s="4">
        <v>249.99</v>
      </c>
      <c r="J191" s="2" t="s">
        <v>42</v>
      </c>
      <c r="K191" s="2" t="s">
        <v>15</v>
      </c>
      <c r="L191" s="2" t="s">
        <v>17</v>
      </c>
      <c r="M191" s="3">
        <v>44460</v>
      </c>
      <c r="N191" s="4">
        <v>999.96</v>
      </c>
    </row>
    <row r="192" spans="1:14" ht="15" customHeight="1" x14ac:dyDescent="0.35">
      <c r="A192" s="2" t="s">
        <v>345</v>
      </c>
      <c r="B192" s="3">
        <v>45671</v>
      </c>
      <c r="C192" s="2" t="s">
        <v>128</v>
      </c>
      <c r="D192" s="2" t="s">
        <v>129</v>
      </c>
      <c r="E192" s="2" t="s">
        <v>61</v>
      </c>
      <c r="F192" s="2" t="s">
        <v>62</v>
      </c>
      <c r="G192" s="2" t="s">
        <v>13</v>
      </c>
      <c r="H192" s="2">
        <v>2</v>
      </c>
      <c r="I192" s="4">
        <v>149.99</v>
      </c>
      <c r="J192" s="2" t="s">
        <v>38</v>
      </c>
      <c r="K192" s="2" t="s">
        <v>15</v>
      </c>
      <c r="L192" s="2" t="s">
        <v>14</v>
      </c>
      <c r="M192" s="3">
        <v>44913</v>
      </c>
      <c r="N192" s="4">
        <v>299.98</v>
      </c>
    </row>
    <row r="193" spans="1:14" ht="15" customHeight="1" x14ac:dyDescent="0.35">
      <c r="A193" s="2" t="s">
        <v>346</v>
      </c>
      <c r="B193" s="3">
        <v>45671</v>
      </c>
      <c r="C193" s="2" t="s">
        <v>242</v>
      </c>
      <c r="D193" s="2" t="s">
        <v>243</v>
      </c>
      <c r="E193" s="2" t="s">
        <v>113</v>
      </c>
      <c r="F193" s="2" t="s">
        <v>114</v>
      </c>
      <c r="G193" s="2" t="s">
        <v>16</v>
      </c>
      <c r="H193" s="2">
        <v>3</v>
      </c>
      <c r="I193" s="4">
        <v>299.99</v>
      </c>
      <c r="J193" s="2" t="s">
        <v>42</v>
      </c>
      <c r="K193" s="2" t="s">
        <v>18</v>
      </c>
      <c r="L193" s="2" t="s">
        <v>10</v>
      </c>
      <c r="M193" s="3">
        <v>45204</v>
      </c>
      <c r="N193" s="4">
        <v>899.97</v>
      </c>
    </row>
    <row r="194" spans="1:14" ht="15" customHeight="1" x14ac:dyDescent="0.35">
      <c r="A194" s="2" t="s">
        <v>347</v>
      </c>
      <c r="B194" s="3">
        <v>45673</v>
      </c>
      <c r="C194" s="2" t="s">
        <v>234</v>
      </c>
      <c r="D194" s="2" t="s">
        <v>235</v>
      </c>
      <c r="E194" s="2" t="s">
        <v>134</v>
      </c>
      <c r="F194" s="2" t="s">
        <v>135</v>
      </c>
      <c r="G194" s="2" t="s">
        <v>16</v>
      </c>
      <c r="H194" s="2">
        <v>4</v>
      </c>
      <c r="I194" s="4">
        <v>199.99</v>
      </c>
      <c r="J194" s="2" t="s">
        <v>66</v>
      </c>
      <c r="K194" s="2" t="s">
        <v>18</v>
      </c>
      <c r="L194" s="2" t="s">
        <v>14</v>
      </c>
      <c r="M194" s="3">
        <v>44544</v>
      </c>
      <c r="N194" s="4">
        <v>799.96</v>
      </c>
    </row>
    <row r="195" spans="1:14" ht="15" customHeight="1" x14ac:dyDescent="0.35">
      <c r="A195" s="2" t="s">
        <v>348</v>
      </c>
      <c r="B195" s="3">
        <v>45673</v>
      </c>
      <c r="C195" s="2" t="s">
        <v>219</v>
      </c>
      <c r="D195" s="2" t="s">
        <v>220</v>
      </c>
      <c r="E195" s="2" t="s">
        <v>113</v>
      </c>
      <c r="F195" s="2" t="s">
        <v>114</v>
      </c>
      <c r="G195" s="2" t="s">
        <v>16</v>
      </c>
      <c r="H195" s="2">
        <v>5</v>
      </c>
      <c r="I195" s="4">
        <v>299.99</v>
      </c>
      <c r="J195" s="2" t="s">
        <v>66</v>
      </c>
      <c r="K195" s="2" t="s">
        <v>8</v>
      </c>
      <c r="L195" s="2" t="s">
        <v>10</v>
      </c>
      <c r="M195" s="3">
        <v>44431</v>
      </c>
      <c r="N195" s="4">
        <v>1499.95</v>
      </c>
    </row>
    <row r="196" spans="1:14" ht="15" customHeight="1" x14ac:dyDescent="0.35">
      <c r="A196" s="2" t="s">
        <v>349</v>
      </c>
      <c r="B196" s="3">
        <v>45673</v>
      </c>
      <c r="C196" s="2" t="s">
        <v>68</v>
      </c>
      <c r="D196" s="2" t="s">
        <v>69</v>
      </c>
      <c r="E196" s="2" t="s">
        <v>55</v>
      </c>
      <c r="F196" s="2" t="s">
        <v>56</v>
      </c>
      <c r="G196" s="2" t="s">
        <v>16</v>
      </c>
      <c r="H196" s="2">
        <v>3</v>
      </c>
      <c r="I196" s="4">
        <v>149.99</v>
      </c>
      <c r="J196" s="2" t="s">
        <v>42</v>
      </c>
      <c r="K196" s="2" t="s">
        <v>12</v>
      </c>
      <c r="L196" s="2" t="s">
        <v>14</v>
      </c>
      <c r="M196" s="3">
        <v>44395</v>
      </c>
      <c r="N196" s="4">
        <v>449.97</v>
      </c>
    </row>
    <row r="197" spans="1:14" ht="15" customHeight="1" x14ac:dyDescent="0.35">
      <c r="A197" s="2" t="s">
        <v>350</v>
      </c>
      <c r="B197" s="3">
        <v>45676</v>
      </c>
      <c r="C197" s="2" t="s">
        <v>137</v>
      </c>
      <c r="D197" s="2" t="s">
        <v>138</v>
      </c>
      <c r="E197" s="2" t="s">
        <v>46</v>
      </c>
      <c r="F197" s="2" t="s">
        <v>47</v>
      </c>
      <c r="G197" s="2" t="s">
        <v>9</v>
      </c>
      <c r="H197" s="2">
        <v>5</v>
      </c>
      <c r="I197" s="4">
        <v>59.99</v>
      </c>
      <c r="J197" s="2" t="s">
        <v>66</v>
      </c>
      <c r="K197" s="2" t="s">
        <v>12</v>
      </c>
      <c r="L197" s="2" t="s">
        <v>10</v>
      </c>
      <c r="M197" s="3">
        <v>44642</v>
      </c>
      <c r="N197" s="4">
        <v>299.95</v>
      </c>
    </row>
    <row r="198" spans="1:14" ht="15" customHeight="1" x14ac:dyDescent="0.35">
      <c r="A198" s="2" t="s">
        <v>351</v>
      </c>
      <c r="B198" s="3">
        <v>45682</v>
      </c>
      <c r="C198" s="2" t="s">
        <v>76</v>
      </c>
      <c r="D198" s="2" t="s">
        <v>77</v>
      </c>
      <c r="E198" s="2" t="s">
        <v>46</v>
      </c>
      <c r="F198" s="2" t="s">
        <v>47</v>
      </c>
      <c r="G198" s="2" t="s">
        <v>9</v>
      </c>
      <c r="H198" s="2">
        <v>4</v>
      </c>
      <c r="I198" s="4">
        <v>59.99</v>
      </c>
      <c r="J198" s="2" t="s">
        <v>66</v>
      </c>
      <c r="K198" s="2" t="s">
        <v>12</v>
      </c>
      <c r="L198" s="2" t="s">
        <v>14</v>
      </c>
      <c r="M198" s="3">
        <v>44564</v>
      </c>
      <c r="N198" s="4">
        <v>239.96</v>
      </c>
    </row>
    <row r="199" spans="1:14" ht="15" customHeight="1" x14ac:dyDescent="0.35">
      <c r="A199" s="2" t="s">
        <v>352</v>
      </c>
      <c r="B199" s="3">
        <v>45683</v>
      </c>
      <c r="C199" s="2" t="s">
        <v>58</v>
      </c>
      <c r="D199" s="2" t="s">
        <v>59</v>
      </c>
      <c r="E199" s="2" t="s">
        <v>36</v>
      </c>
      <c r="F199" s="2" t="s">
        <v>37</v>
      </c>
      <c r="G199" s="2" t="s">
        <v>13</v>
      </c>
      <c r="H199" s="2">
        <v>4</v>
      </c>
      <c r="I199" s="4">
        <v>249.99</v>
      </c>
      <c r="J199" s="2" t="s">
        <v>66</v>
      </c>
      <c r="K199" s="2" t="s">
        <v>8</v>
      </c>
      <c r="L199" s="2" t="s">
        <v>17</v>
      </c>
      <c r="M199" s="3">
        <v>45217</v>
      </c>
      <c r="N199" s="4">
        <v>999.96</v>
      </c>
    </row>
    <row r="200" spans="1:14" ht="15" customHeight="1" x14ac:dyDescent="0.35">
      <c r="A200" s="2" t="s">
        <v>353</v>
      </c>
      <c r="B200" s="3">
        <v>45686</v>
      </c>
      <c r="C200" s="2" t="s">
        <v>260</v>
      </c>
      <c r="D200" s="2" t="s">
        <v>261</v>
      </c>
      <c r="E200" s="2" t="s">
        <v>70</v>
      </c>
      <c r="F200" s="2" t="s">
        <v>71</v>
      </c>
      <c r="G200" s="2" t="s">
        <v>13</v>
      </c>
      <c r="H200" s="2">
        <v>4</v>
      </c>
      <c r="I200" s="4">
        <v>899.99</v>
      </c>
      <c r="J200" s="2" t="s">
        <v>48</v>
      </c>
      <c r="K200" s="2" t="s">
        <v>8</v>
      </c>
      <c r="L200" s="2" t="s">
        <v>10</v>
      </c>
      <c r="M200" s="3">
        <v>44734</v>
      </c>
      <c r="N200" s="4">
        <v>3599.96</v>
      </c>
    </row>
    <row r="201" spans="1:14" ht="15" customHeight="1" x14ac:dyDescent="0.35">
      <c r="A201" s="2" t="s">
        <v>354</v>
      </c>
      <c r="B201" s="3">
        <v>45686</v>
      </c>
      <c r="C201" s="2" t="s">
        <v>94</v>
      </c>
      <c r="D201" s="2" t="s">
        <v>95</v>
      </c>
      <c r="E201" s="2" t="s">
        <v>113</v>
      </c>
      <c r="F201" s="2" t="s">
        <v>114</v>
      </c>
      <c r="G201" s="2" t="s">
        <v>16</v>
      </c>
      <c r="H201" s="2">
        <v>3</v>
      </c>
      <c r="I201" s="4">
        <v>299.99</v>
      </c>
      <c r="J201" s="2" t="s">
        <v>66</v>
      </c>
      <c r="K201" s="2" t="s">
        <v>19</v>
      </c>
      <c r="L201" s="2" t="s">
        <v>14</v>
      </c>
      <c r="M201" s="3">
        <v>44952</v>
      </c>
      <c r="N201" s="4">
        <v>899.97</v>
      </c>
    </row>
    <row r="202" spans="1:14" ht="15" customHeight="1" x14ac:dyDescent="0.35">
      <c r="A202" s="2" t="s">
        <v>355</v>
      </c>
      <c r="B202" s="3">
        <v>45686</v>
      </c>
      <c r="C202" s="2" t="s">
        <v>301</v>
      </c>
      <c r="D202" s="2" t="s">
        <v>302</v>
      </c>
      <c r="E202" s="2" t="s">
        <v>88</v>
      </c>
      <c r="F202" s="2" t="s">
        <v>89</v>
      </c>
      <c r="G202" s="2" t="s">
        <v>13</v>
      </c>
      <c r="H202" s="2">
        <v>2</v>
      </c>
      <c r="I202" s="4">
        <v>699.99</v>
      </c>
      <c r="J202" s="2" t="s">
        <v>66</v>
      </c>
      <c r="K202" s="2" t="s">
        <v>8</v>
      </c>
      <c r="L202" s="2" t="s">
        <v>17</v>
      </c>
      <c r="M202" s="3">
        <v>44681</v>
      </c>
      <c r="N202" s="4">
        <v>1399.98</v>
      </c>
    </row>
    <row r="203" spans="1:14" ht="15" customHeight="1" x14ac:dyDescent="0.35">
      <c r="A203" s="2" t="s">
        <v>356</v>
      </c>
      <c r="B203" s="3">
        <v>45688</v>
      </c>
      <c r="C203" s="2" t="s">
        <v>73</v>
      </c>
      <c r="D203" s="2" t="s">
        <v>74</v>
      </c>
      <c r="E203" s="2" t="s">
        <v>88</v>
      </c>
      <c r="F203" s="2" t="s">
        <v>89</v>
      </c>
      <c r="G203" s="2" t="s">
        <v>13</v>
      </c>
      <c r="H203" s="2">
        <v>4</v>
      </c>
      <c r="I203" s="4">
        <v>699.99</v>
      </c>
      <c r="J203" s="2" t="s">
        <v>66</v>
      </c>
      <c r="K203" s="2" t="s">
        <v>19</v>
      </c>
      <c r="L203" s="2" t="s">
        <v>17</v>
      </c>
      <c r="M203" s="3">
        <v>44692</v>
      </c>
      <c r="N203" s="4">
        <v>2799.96</v>
      </c>
    </row>
    <row r="204" spans="1:14" ht="15" customHeight="1" x14ac:dyDescent="0.35">
      <c r="A204" s="2" t="s">
        <v>357</v>
      </c>
      <c r="B204" s="3">
        <v>45688</v>
      </c>
      <c r="C204" s="2" t="s">
        <v>131</v>
      </c>
      <c r="D204" s="2" t="s">
        <v>132</v>
      </c>
      <c r="E204" s="2" t="s">
        <v>125</v>
      </c>
      <c r="F204" s="2" t="s">
        <v>126</v>
      </c>
      <c r="G204" s="2" t="s">
        <v>13</v>
      </c>
      <c r="H204" s="2">
        <v>2</v>
      </c>
      <c r="I204" s="4">
        <v>89.99</v>
      </c>
      <c r="J204" s="2" t="s">
        <v>66</v>
      </c>
      <c r="K204" s="2" t="s">
        <v>18</v>
      </c>
      <c r="L204" s="2" t="s">
        <v>10</v>
      </c>
      <c r="M204" s="3">
        <v>44777</v>
      </c>
      <c r="N204" s="4">
        <v>179.98</v>
      </c>
    </row>
    <row r="205" spans="1:14" ht="15" customHeight="1" x14ac:dyDescent="0.35">
      <c r="A205" s="2" t="s">
        <v>358</v>
      </c>
      <c r="B205" s="3">
        <v>45688</v>
      </c>
      <c r="C205" s="2" t="s">
        <v>53</v>
      </c>
      <c r="D205" s="2" t="s">
        <v>54</v>
      </c>
      <c r="E205" s="2" t="s">
        <v>125</v>
      </c>
      <c r="F205" s="2" t="s">
        <v>126</v>
      </c>
      <c r="G205" s="2" t="s">
        <v>13</v>
      </c>
      <c r="H205" s="2">
        <v>3</v>
      </c>
      <c r="I205" s="4">
        <v>89.99</v>
      </c>
      <c r="J205" s="2" t="s">
        <v>66</v>
      </c>
      <c r="K205" s="2" t="s">
        <v>18</v>
      </c>
      <c r="L205" s="2" t="s">
        <v>17</v>
      </c>
      <c r="M205" s="3">
        <v>45307</v>
      </c>
      <c r="N205" s="4">
        <v>269.97000000000003</v>
      </c>
    </row>
    <row r="206" spans="1:14" ht="15" customHeight="1" x14ac:dyDescent="0.35">
      <c r="A206" s="2" t="s">
        <v>359</v>
      </c>
      <c r="B206" s="3">
        <v>45692</v>
      </c>
      <c r="C206" s="2" t="s">
        <v>333</v>
      </c>
      <c r="D206" s="2" t="s">
        <v>334</v>
      </c>
      <c r="E206" s="2" t="s">
        <v>46</v>
      </c>
      <c r="F206" s="2" t="s">
        <v>47</v>
      </c>
      <c r="G206" s="2" t="s">
        <v>9</v>
      </c>
      <c r="H206" s="2">
        <v>1</v>
      </c>
      <c r="I206" s="4">
        <v>59.99</v>
      </c>
      <c r="J206" s="2" t="s">
        <v>66</v>
      </c>
      <c r="K206" s="2" t="s">
        <v>8</v>
      </c>
      <c r="L206" s="2" t="s">
        <v>14</v>
      </c>
      <c r="M206" s="3">
        <v>45045</v>
      </c>
      <c r="N206" s="4">
        <v>59.99</v>
      </c>
    </row>
    <row r="207" spans="1:14" ht="15" customHeight="1" x14ac:dyDescent="0.35">
      <c r="A207" s="2" t="s">
        <v>360</v>
      </c>
      <c r="B207" s="3">
        <v>45695</v>
      </c>
      <c r="C207" s="2" t="s">
        <v>254</v>
      </c>
      <c r="D207" s="2" t="s">
        <v>255</v>
      </c>
      <c r="E207" s="2" t="s">
        <v>55</v>
      </c>
      <c r="F207" s="2" t="s">
        <v>56</v>
      </c>
      <c r="G207" s="2" t="s">
        <v>16</v>
      </c>
      <c r="H207" s="2">
        <v>3</v>
      </c>
      <c r="I207" s="4">
        <v>149.99</v>
      </c>
      <c r="J207" s="2" t="s">
        <v>66</v>
      </c>
      <c r="K207" s="2" t="s">
        <v>15</v>
      </c>
      <c r="L207" s="2" t="s">
        <v>17</v>
      </c>
      <c r="M207" s="3">
        <v>44564</v>
      </c>
      <c r="N207" s="4">
        <v>449.97</v>
      </c>
    </row>
    <row r="208" spans="1:14" ht="15" customHeight="1" x14ac:dyDescent="0.35">
      <c r="A208" s="2" t="s">
        <v>361</v>
      </c>
      <c r="B208" s="3">
        <v>45695</v>
      </c>
      <c r="C208" s="2" t="s">
        <v>101</v>
      </c>
      <c r="D208" s="2" t="s">
        <v>102</v>
      </c>
      <c r="E208" s="2" t="s">
        <v>113</v>
      </c>
      <c r="F208" s="2" t="s">
        <v>114</v>
      </c>
      <c r="G208" s="2" t="s">
        <v>16</v>
      </c>
      <c r="H208" s="2">
        <v>5</v>
      </c>
      <c r="I208" s="4">
        <v>299.99</v>
      </c>
      <c r="J208" s="2" t="s">
        <v>42</v>
      </c>
      <c r="K208" s="2" t="s">
        <v>18</v>
      </c>
      <c r="L208" s="2" t="s">
        <v>10</v>
      </c>
      <c r="M208" s="3">
        <v>44959</v>
      </c>
      <c r="N208" s="4">
        <v>1499.95</v>
      </c>
    </row>
    <row r="209" spans="1:14" ht="15" customHeight="1" x14ac:dyDescent="0.35">
      <c r="A209" s="2" t="s">
        <v>362</v>
      </c>
      <c r="B209" s="3">
        <v>45696</v>
      </c>
      <c r="C209" s="2" t="s">
        <v>158</v>
      </c>
      <c r="D209" s="2" t="s">
        <v>159</v>
      </c>
      <c r="E209" s="2" t="s">
        <v>46</v>
      </c>
      <c r="F209" s="2" t="s">
        <v>47</v>
      </c>
      <c r="G209" s="2" t="s">
        <v>9</v>
      </c>
      <c r="H209" s="2">
        <v>5</v>
      </c>
      <c r="I209" s="4">
        <v>59.99</v>
      </c>
      <c r="J209" s="2" t="s">
        <v>66</v>
      </c>
      <c r="K209" s="2" t="s">
        <v>8</v>
      </c>
      <c r="L209" s="2" t="s">
        <v>14</v>
      </c>
      <c r="M209" s="3">
        <v>45177</v>
      </c>
      <c r="N209" s="4">
        <v>299.95</v>
      </c>
    </row>
    <row r="210" spans="1:14" ht="15" customHeight="1" x14ac:dyDescent="0.35">
      <c r="A210" s="2" t="s">
        <v>363</v>
      </c>
      <c r="B210" s="3">
        <v>45701</v>
      </c>
      <c r="C210" s="2" t="s">
        <v>116</v>
      </c>
      <c r="D210" s="2" t="s">
        <v>117</v>
      </c>
      <c r="E210" s="2" t="s">
        <v>122</v>
      </c>
      <c r="F210" s="2" t="s">
        <v>123</v>
      </c>
      <c r="G210" s="2" t="s">
        <v>9</v>
      </c>
      <c r="H210" s="2">
        <v>3</v>
      </c>
      <c r="I210" s="4">
        <v>79.989999999999995</v>
      </c>
      <c r="J210" s="2" t="s">
        <v>38</v>
      </c>
      <c r="K210" s="2" t="s">
        <v>12</v>
      </c>
      <c r="L210" s="2" t="s">
        <v>17</v>
      </c>
      <c r="M210" s="3">
        <v>44436</v>
      </c>
      <c r="N210" s="4">
        <v>239.97</v>
      </c>
    </row>
    <row r="211" spans="1:14" ht="15" customHeight="1" x14ac:dyDescent="0.35">
      <c r="A211" s="2" t="s">
        <v>364</v>
      </c>
      <c r="B211" s="3">
        <v>45704</v>
      </c>
      <c r="C211" s="2" t="s">
        <v>44</v>
      </c>
      <c r="D211" s="2" t="s">
        <v>45</v>
      </c>
      <c r="E211" s="2" t="s">
        <v>134</v>
      </c>
      <c r="F211" s="2" t="s">
        <v>135</v>
      </c>
      <c r="G211" s="2" t="s">
        <v>16</v>
      </c>
      <c r="H211" s="2">
        <v>3</v>
      </c>
      <c r="I211" s="4">
        <v>199.99</v>
      </c>
      <c r="J211" s="2" t="s">
        <v>38</v>
      </c>
      <c r="K211" s="2" t="s">
        <v>8</v>
      </c>
      <c r="L211" s="2" t="s">
        <v>10</v>
      </c>
      <c r="M211" s="3">
        <v>44735</v>
      </c>
      <c r="N211" s="4">
        <v>599.97</v>
      </c>
    </row>
    <row r="212" spans="1:14" ht="15" customHeight="1" x14ac:dyDescent="0.35">
      <c r="A212" s="2" t="s">
        <v>365</v>
      </c>
      <c r="B212" s="3">
        <v>45704</v>
      </c>
      <c r="C212" s="2" t="s">
        <v>34</v>
      </c>
      <c r="D212" s="2" t="s">
        <v>35</v>
      </c>
      <c r="E212" s="2" t="s">
        <v>125</v>
      </c>
      <c r="F212" s="2" t="s">
        <v>126</v>
      </c>
      <c r="G212" s="2" t="s">
        <v>13</v>
      </c>
      <c r="H212" s="2">
        <v>2</v>
      </c>
      <c r="I212" s="4">
        <v>89.99</v>
      </c>
      <c r="J212" s="2" t="s">
        <v>48</v>
      </c>
      <c r="K212" s="2" t="s">
        <v>8</v>
      </c>
      <c r="L212" s="2" t="s">
        <v>10</v>
      </c>
      <c r="M212" s="3">
        <v>45257</v>
      </c>
      <c r="N212" s="4">
        <v>179.98</v>
      </c>
    </row>
    <row r="213" spans="1:14" ht="15" customHeight="1" x14ac:dyDescent="0.35">
      <c r="A213" s="2" t="s">
        <v>366</v>
      </c>
      <c r="B213" s="3">
        <v>45705</v>
      </c>
      <c r="C213" s="2" t="s">
        <v>267</v>
      </c>
      <c r="D213" s="2" t="s">
        <v>268</v>
      </c>
      <c r="E213" s="2" t="s">
        <v>55</v>
      </c>
      <c r="F213" s="2" t="s">
        <v>56</v>
      </c>
      <c r="G213" s="2" t="s">
        <v>16</v>
      </c>
      <c r="H213" s="2">
        <v>2</v>
      </c>
      <c r="I213" s="4">
        <v>149.99</v>
      </c>
      <c r="J213" s="2" t="s">
        <v>38</v>
      </c>
      <c r="K213" s="2" t="s">
        <v>18</v>
      </c>
      <c r="L213" s="2" t="s">
        <v>17</v>
      </c>
      <c r="M213" s="3">
        <v>44728</v>
      </c>
      <c r="N213" s="4">
        <v>299.98</v>
      </c>
    </row>
    <row r="214" spans="1:14" ht="15" customHeight="1" x14ac:dyDescent="0.35">
      <c r="A214" s="2" t="s">
        <v>367</v>
      </c>
      <c r="B214" s="3">
        <v>45707</v>
      </c>
      <c r="C214" s="2" t="s">
        <v>131</v>
      </c>
      <c r="D214" s="2" t="s">
        <v>132</v>
      </c>
      <c r="E214" s="2" t="s">
        <v>88</v>
      </c>
      <c r="F214" s="2" t="s">
        <v>89</v>
      </c>
      <c r="G214" s="2" t="s">
        <v>13</v>
      </c>
      <c r="H214" s="2">
        <v>5</v>
      </c>
      <c r="I214" s="4">
        <v>699.99</v>
      </c>
      <c r="J214" s="2" t="s">
        <v>48</v>
      </c>
      <c r="K214" s="2" t="s">
        <v>18</v>
      </c>
      <c r="L214" s="2" t="s">
        <v>17</v>
      </c>
      <c r="M214" s="3">
        <v>45352</v>
      </c>
      <c r="N214" s="4">
        <v>3499.95</v>
      </c>
    </row>
    <row r="215" spans="1:14" ht="15" customHeight="1" x14ac:dyDescent="0.35">
      <c r="A215" s="2" t="s">
        <v>368</v>
      </c>
      <c r="B215" s="3">
        <v>45707</v>
      </c>
      <c r="C215" s="2" t="s">
        <v>53</v>
      </c>
      <c r="D215" s="2" t="s">
        <v>54</v>
      </c>
      <c r="E215" s="2" t="s">
        <v>55</v>
      </c>
      <c r="F215" s="2" t="s">
        <v>56</v>
      </c>
      <c r="G215" s="2" t="s">
        <v>16</v>
      </c>
      <c r="H215" s="2">
        <v>3</v>
      </c>
      <c r="I215" s="4">
        <v>149.99</v>
      </c>
      <c r="J215" s="2" t="s">
        <v>48</v>
      </c>
      <c r="K215" s="2" t="s">
        <v>8</v>
      </c>
      <c r="L215" s="2" t="s">
        <v>14</v>
      </c>
      <c r="M215" s="3">
        <v>44633</v>
      </c>
      <c r="N215" s="4">
        <v>449.97</v>
      </c>
    </row>
    <row r="216" spans="1:14" ht="15" customHeight="1" x14ac:dyDescent="0.35">
      <c r="A216" s="2" t="s">
        <v>369</v>
      </c>
      <c r="B216" s="3">
        <v>45708</v>
      </c>
      <c r="C216" s="2" t="s">
        <v>104</v>
      </c>
      <c r="D216" s="2" t="s">
        <v>105</v>
      </c>
      <c r="E216" s="2" t="s">
        <v>70</v>
      </c>
      <c r="F216" s="2" t="s">
        <v>71</v>
      </c>
      <c r="G216" s="2" t="s">
        <v>13</v>
      </c>
      <c r="H216" s="2">
        <v>3</v>
      </c>
      <c r="I216" s="4">
        <v>899.99</v>
      </c>
      <c r="J216" s="2" t="s">
        <v>38</v>
      </c>
      <c r="K216" s="2" t="s">
        <v>12</v>
      </c>
      <c r="L216" s="2" t="s">
        <v>14</v>
      </c>
      <c r="M216" s="3">
        <v>44613</v>
      </c>
      <c r="N216" s="4">
        <v>2699.97</v>
      </c>
    </row>
    <row r="217" spans="1:14" ht="15" customHeight="1" x14ac:dyDescent="0.35">
      <c r="A217" s="2" t="s">
        <v>370</v>
      </c>
      <c r="B217" s="3">
        <v>45708</v>
      </c>
      <c r="C217" s="2" t="s">
        <v>200</v>
      </c>
      <c r="D217" s="2" t="s">
        <v>201</v>
      </c>
      <c r="E217" s="2" t="s">
        <v>134</v>
      </c>
      <c r="F217" s="2" t="s">
        <v>135</v>
      </c>
      <c r="G217" s="2" t="s">
        <v>16</v>
      </c>
      <c r="H217" s="2">
        <v>3</v>
      </c>
      <c r="I217" s="4">
        <v>199.99</v>
      </c>
      <c r="J217" s="2" t="s">
        <v>38</v>
      </c>
      <c r="K217" s="2" t="s">
        <v>19</v>
      </c>
      <c r="L217" s="2" t="s">
        <v>17</v>
      </c>
      <c r="M217" s="3">
        <v>44823</v>
      </c>
      <c r="N217" s="4">
        <v>599.97</v>
      </c>
    </row>
    <row r="218" spans="1:14" ht="15" customHeight="1" x14ac:dyDescent="0.35">
      <c r="A218" s="2" t="s">
        <v>371</v>
      </c>
      <c r="B218" s="3">
        <v>45710</v>
      </c>
      <c r="C218" s="2" t="s">
        <v>64</v>
      </c>
      <c r="D218" s="2" t="s">
        <v>65</v>
      </c>
      <c r="E218" s="2" t="s">
        <v>113</v>
      </c>
      <c r="F218" s="2" t="s">
        <v>114</v>
      </c>
      <c r="G218" s="2" t="s">
        <v>16</v>
      </c>
      <c r="H218" s="2">
        <v>5</v>
      </c>
      <c r="I218" s="4">
        <v>299.99</v>
      </c>
      <c r="J218" s="2" t="s">
        <v>38</v>
      </c>
      <c r="K218" s="2" t="s">
        <v>19</v>
      </c>
      <c r="L218" s="2" t="s">
        <v>14</v>
      </c>
      <c r="M218" s="3">
        <v>45142</v>
      </c>
      <c r="N218" s="4">
        <v>1499.95</v>
      </c>
    </row>
    <row r="219" spans="1:14" ht="15" customHeight="1" x14ac:dyDescent="0.35">
      <c r="A219" s="2" t="s">
        <v>372</v>
      </c>
      <c r="B219" s="3">
        <v>45710</v>
      </c>
      <c r="C219" s="2" t="s">
        <v>158</v>
      </c>
      <c r="D219" s="2" t="s">
        <v>159</v>
      </c>
      <c r="E219" s="2" t="s">
        <v>88</v>
      </c>
      <c r="F219" s="2" t="s">
        <v>89</v>
      </c>
      <c r="G219" s="2" t="s">
        <v>13</v>
      </c>
      <c r="H219" s="2">
        <v>1</v>
      </c>
      <c r="I219" s="4">
        <v>699.99</v>
      </c>
      <c r="J219" s="2" t="s">
        <v>48</v>
      </c>
      <c r="K219" s="2" t="s">
        <v>19</v>
      </c>
      <c r="L219" s="2" t="s">
        <v>10</v>
      </c>
      <c r="M219" s="3">
        <v>44934</v>
      </c>
      <c r="N219" s="4">
        <v>699.99</v>
      </c>
    </row>
    <row r="220" spans="1:14" ht="15" customHeight="1" x14ac:dyDescent="0.35">
      <c r="A220" s="2" t="s">
        <v>373</v>
      </c>
      <c r="B220" s="3">
        <v>45711</v>
      </c>
      <c r="C220" s="2" t="s">
        <v>254</v>
      </c>
      <c r="D220" s="2" t="s">
        <v>255</v>
      </c>
      <c r="E220" s="2" t="s">
        <v>88</v>
      </c>
      <c r="F220" s="2" t="s">
        <v>89</v>
      </c>
      <c r="G220" s="2" t="s">
        <v>13</v>
      </c>
      <c r="H220" s="2">
        <v>1</v>
      </c>
      <c r="I220" s="4">
        <v>699.99</v>
      </c>
      <c r="J220" s="2" t="s">
        <v>38</v>
      </c>
      <c r="K220" s="2" t="s">
        <v>15</v>
      </c>
      <c r="L220" s="2" t="s">
        <v>17</v>
      </c>
      <c r="M220" s="3">
        <v>44583</v>
      </c>
      <c r="N220" s="4">
        <v>699.99</v>
      </c>
    </row>
    <row r="221" spans="1:14" ht="15" customHeight="1" x14ac:dyDescent="0.35">
      <c r="A221" s="2" t="s">
        <v>374</v>
      </c>
      <c r="B221" s="3">
        <v>45711</v>
      </c>
      <c r="C221" s="2" t="s">
        <v>333</v>
      </c>
      <c r="D221" s="2" t="s">
        <v>334</v>
      </c>
      <c r="E221" s="2" t="s">
        <v>55</v>
      </c>
      <c r="F221" s="2" t="s">
        <v>56</v>
      </c>
      <c r="G221" s="2" t="s">
        <v>16</v>
      </c>
      <c r="H221" s="2">
        <v>4</v>
      </c>
      <c r="I221" s="4">
        <v>149.99</v>
      </c>
      <c r="J221" s="2" t="s">
        <v>48</v>
      </c>
      <c r="K221" s="2" t="s">
        <v>15</v>
      </c>
      <c r="L221" s="2" t="s">
        <v>17</v>
      </c>
      <c r="M221" s="3">
        <v>44412</v>
      </c>
      <c r="N221" s="4">
        <v>599.96</v>
      </c>
    </row>
    <row r="222" spans="1:14" ht="15" customHeight="1" x14ac:dyDescent="0.35">
      <c r="A222" s="2" t="s">
        <v>375</v>
      </c>
      <c r="B222" s="3">
        <v>45711</v>
      </c>
      <c r="C222" s="2" t="s">
        <v>219</v>
      </c>
      <c r="D222" s="2" t="s">
        <v>220</v>
      </c>
      <c r="E222" s="2" t="s">
        <v>125</v>
      </c>
      <c r="F222" s="2" t="s">
        <v>126</v>
      </c>
      <c r="G222" s="2" t="s">
        <v>13</v>
      </c>
      <c r="H222" s="2">
        <v>5</v>
      </c>
      <c r="I222" s="4">
        <v>89.99</v>
      </c>
      <c r="J222" s="2" t="s">
        <v>48</v>
      </c>
      <c r="K222" s="2" t="s">
        <v>19</v>
      </c>
      <c r="L222" s="2" t="s">
        <v>17</v>
      </c>
      <c r="M222" s="3">
        <v>45140</v>
      </c>
      <c r="N222" s="4">
        <v>449.95</v>
      </c>
    </row>
    <row r="223" spans="1:14" ht="15" customHeight="1" x14ac:dyDescent="0.35">
      <c r="A223" s="2" t="s">
        <v>376</v>
      </c>
      <c r="B223" s="3">
        <v>45712</v>
      </c>
      <c r="C223" s="2" t="s">
        <v>146</v>
      </c>
      <c r="D223" s="2" t="s">
        <v>147</v>
      </c>
      <c r="E223" s="2" t="s">
        <v>134</v>
      </c>
      <c r="F223" s="2" t="s">
        <v>135</v>
      </c>
      <c r="G223" s="2" t="s">
        <v>16</v>
      </c>
      <c r="H223" s="2">
        <v>2</v>
      </c>
      <c r="I223" s="4">
        <v>199.99</v>
      </c>
      <c r="J223" s="2" t="s">
        <v>38</v>
      </c>
      <c r="K223" s="2" t="s">
        <v>8</v>
      </c>
      <c r="L223" s="2" t="s">
        <v>17</v>
      </c>
      <c r="M223" s="3">
        <v>44573</v>
      </c>
      <c r="N223" s="4">
        <v>399.98</v>
      </c>
    </row>
    <row r="224" spans="1:14" ht="15" customHeight="1" x14ac:dyDescent="0.35">
      <c r="A224" s="2" t="s">
        <v>377</v>
      </c>
      <c r="B224" s="3">
        <v>45715</v>
      </c>
      <c r="C224" s="2" t="s">
        <v>267</v>
      </c>
      <c r="D224" s="2" t="s">
        <v>268</v>
      </c>
      <c r="E224" s="2" t="s">
        <v>46</v>
      </c>
      <c r="F224" s="2" t="s">
        <v>47</v>
      </c>
      <c r="G224" s="2" t="s">
        <v>9</v>
      </c>
      <c r="H224" s="2">
        <v>4</v>
      </c>
      <c r="I224" s="4">
        <v>59.99</v>
      </c>
      <c r="J224" s="2" t="s">
        <v>38</v>
      </c>
      <c r="K224" s="2" t="s">
        <v>19</v>
      </c>
      <c r="L224" s="2" t="s">
        <v>14</v>
      </c>
      <c r="M224" s="3">
        <v>45070</v>
      </c>
      <c r="N224" s="4">
        <v>239.96</v>
      </c>
    </row>
    <row r="225" spans="1:14" ht="15" customHeight="1" x14ac:dyDescent="0.35">
      <c r="A225" s="2" t="s">
        <v>378</v>
      </c>
      <c r="B225" s="3">
        <v>45715</v>
      </c>
      <c r="C225" s="2" t="s">
        <v>101</v>
      </c>
      <c r="D225" s="2" t="s">
        <v>102</v>
      </c>
      <c r="E225" s="2" t="s">
        <v>113</v>
      </c>
      <c r="F225" s="2" t="s">
        <v>114</v>
      </c>
      <c r="G225" s="2" t="s">
        <v>16</v>
      </c>
      <c r="H225" s="2">
        <v>2</v>
      </c>
      <c r="I225" s="4">
        <v>299.99</v>
      </c>
      <c r="J225" s="2" t="s">
        <v>48</v>
      </c>
      <c r="K225" s="2" t="s">
        <v>18</v>
      </c>
      <c r="L225" s="2" t="s">
        <v>10</v>
      </c>
      <c r="M225" s="3">
        <v>44576</v>
      </c>
      <c r="N225" s="4">
        <v>599.98</v>
      </c>
    </row>
    <row r="226" spans="1:14" ht="15" customHeight="1" x14ac:dyDescent="0.35">
      <c r="A226" s="2" t="s">
        <v>379</v>
      </c>
      <c r="B226" s="3">
        <v>45718</v>
      </c>
      <c r="C226" s="2" t="s">
        <v>64</v>
      </c>
      <c r="D226" s="2" t="s">
        <v>65</v>
      </c>
      <c r="E226" s="2" t="s">
        <v>55</v>
      </c>
      <c r="F226" s="2" t="s">
        <v>56</v>
      </c>
      <c r="G226" s="2" t="s">
        <v>16</v>
      </c>
      <c r="H226" s="2">
        <v>2</v>
      </c>
      <c r="I226" s="4">
        <v>149.99</v>
      </c>
      <c r="J226" s="2" t="s">
        <v>38</v>
      </c>
      <c r="K226" s="2" t="s">
        <v>8</v>
      </c>
      <c r="L226" s="2" t="s">
        <v>10</v>
      </c>
      <c r="M226" s="3">
        <v>45068</v>
      </c>
      <c r="N226" s="4">
        <v>299.98</v>
      </c>
    </row>
    <row r="227" spans="1:14" ht="15" customHeight="1" x14ac:dyDescent="0.35">
      <c r="A227" s="2" t="s">
        <v>380</v>
      </c>
      <c r="B227" s="3">
        <v>45720</v>
      </c>
      <c r="C227" s="2" t="s">
        <v>234</v>
      </c>
      <c r="D227" s="2" t="s">
        <v>235</v>
      </c>
      <c r="E227" s="2" t="s">
        <v>88</v>
      </c>
      <c r="F227" s="2" t="s">
        <v>89</v>
      </c>
      <c r="G227" s="2" t="s">
        <v>13</v>
      </c>
      <c r="H227" s="2">
        <v>5</v>
      </c>
      <c r="I227" s="4">
        <v>699.99</v>
      </c>
      <c r="J227" s="2" t="s">
        <v>66</v>
      </c>
      <c r="K227" s="2" t="s">
        <v>12</v>
      </c>
      <c r="L227" s="2" t="s">
        <v>17</v>
      </c>
      <c r="M227" s="3">
        <v>45161</v>
      </c>
      <c r="N227" s="4">
        <v>3499.95</v>
      </c>
    </row>
    <row r="228" spans="1:14" ht="15" customHeight="1" x14ac:dyDescent="0.35">
      <c r="A228" s="2" t="s">
        <v>381</v>
      </c>
      <c r="B228" s="3">
        <v>45721</v>
      </c>
      <c r="C228" s="2" t="s">
        <v>83</v>
      </c>
      <c r="D228" s="2" t="s">
        <v>84</v>
      </c>
      <c r="E228" s="2" t="s">
        <v>46</v>
      </c>
      <c r="F228" s="2" t="s">
        <v>47</v>
      </c>
      <c r="G228" s="2" t="s">
        <v>9</v>
      </c>
      <c r="H228" s="2">
        <v>5</v>
      </c>
      <c r="I228" s="4">
        <v>59.99</v>
      </c>
      <c r="J228" s="2" t="s">
        <v>38</v>
      </c>
      <c r="K228" s="2" t="s">
        <v>19</v>
      </c>
      <c r="L228" s="2" t="s">
        <v>17</v>
      </c>
      <c r="M228" s="3">
        <v>45291</v>
      </c>
      <c r="N228" s="4">
        <v>299.95</v>
      </c>
    </row>
    <row r="229" spans="1:14" ht="15" customHeight="1" x14ac:dyDescent="0.35">
      <c r="A229" s="2" t="s">
        <v>382</v>
      </c>
      <c r="B229" s="3">
        <v>45723</v>
      </c>
      <c r="C229" s="2" t="s">
        <v>34</v>
      </c>
      <c r="D229" s="2" t="s">
        <v>35</v>
      </c>
      <c r="E229" s="2" t="s">
        <v>125</v>
      </c>
      <c r="F229" s="2" t="s">
        <v>126</v>
      </c>
      <c r="G229" s="2" t="s">
        <v>13</v>
      </c>
      <c r="H229" s="2">
        <v>2</v>
      </c>
      <c r="I229" s="4">
        <v>89.99</v>
      </c>
      <c r="J229" s="2" t="s">
        <v>42</v>
      </c>
      <c r="K229" s="2" t="s">
        <v>19</v>
      </c>
      <c r="L229" s="2" t="s">
        <v>17</v>
      </c>
      <c r="M229" s="3">
        <v>45295</v>
      </c>
      <c r="N229" s="4">
        <v>179.98</v>
      </c>
    </row>
    <row r="230" spans="1:14" ht="15" customHeight="1" x14ac:dyDescent="0.35">
      <c r="A230" s="2" t="s">
        <v>383</v>
      </c>
      <c r="B230" s="3">
        <v>45723</v>
      </c>
      <c r="C230" s="2" t="s">
        <v>128</v>
      </c>
      <c r="D230" s="2" t="s">
        <v>129</v>
      </c>
      <c r="E230" s="2" t="s">
        <v>36</v>
      </c>
      <c r="F230" s="2" t="s">
        <v>37</v>
      </c>
      <c r="G230" s="2" t="s">
        <v>13</v>
      </c>
      <c r="H230" s="2">
        <v>5</v>
      </c>
      <c r="I230" s="4">
        <v>249.99</v>
      </c>
      <c r="J230" s="2" t="s">
        <v>38</v>
      </c>
      <c r="K230" s="2" t="s">
        <v>12</v>
      </c>
      <c r="L230" s="2" t="s">
        <v>14</v>
      </c>
      <c r="M230" s="3">
        <v>44540</v>
      </c>
      <c r="N230" s="4">
        <v>1249.95</v>
      </c>
    </row>
    <row r="231" spans="1:14" ht="15" customHeight="1" x14ac:dyDescent="0.35">
      <c r="A231" s="2" t="s">
        <v>384</v>
      </c>
      <c r="B231" s="3">
        <v>45724</v>
      </c>
      <c r="C231" s="2" t="s">
        <v>234</v>
      </c>
      <c r="D231" s="2" t="s">
        <v>235</v>
      </c>
      <c r="E231" s="2" t="s">
        <v>55</v>
      </c>
      <c r="F231" s="2" t="s">
        <v>56</v>
      </c>
      <c r="G231" s="2" t="s">
        <v>16</v>
      </c>
      <c r="H231" s="2">
        <v>2</v>
      </c>
      <c r="I231" s="4">
        <v>149.99</v>
      </c>
      <c r="J231" s="2" t="s">
        <v>48</v>
      </c>
      <c r="K231" s="2" t="s">
        <v>8</v>
      </c>
      <c r="L231" s="2" t="s">
        <v>17</v>
      </c>
      <c r="M231" s="3">
        <v>44632</v>
      </c>
      <c r="N231" s="4">
        <v>299.98</v>
      </c>
    </row>
    <row r="232" spans="1:14" ht="15" customHeight="1" x14ac:dyDescent="0.35">
      <c r="A232" s="2" t="s">
        <v>385</v>
      </c>
      <c r="B232" s="3">
        <v>45724</v>
      </c>
      <c r="C232" s="2" t="s">
        <v>152</v>
      </c>
      <c r="D232" s="2" t="s">
        <v>153</v>
      </c>
      <c r="E232" s="2" t="s">
        <v>70</v>
      </c>
      <c r="F232" s="2" t="s">
        <v>71</v>
      </c>
      <c r="G232" s="2" t="s">
        <v>13</v>
      </c>
      <c r="H232" s="2">
        <v>5</v>
      </c>
      <c r="I232" s="4">
        <v>899.99</v>
      </c>
      <c r="J232" s="2" t="s">
        <v>48</v>
      </c>
      <c r="K232" s="2" t="s">
        <v>12</v>
      </c>
      <c r="L232" s="2" t="s">
        <v>17</v>
      </c>
      <c r="M232" s="3">
        <v>45389</v>
      </c>
      <c r="N232" s="4">
        <v>4499.95</v>
      </c>
    </row>
    <row r="233" spans="1:14" ht="15" customHeight="1" x14ac:dyDescent="0.35">
      <c r="A233" s="2" t="s">
        <v>386</v>
      </c>
      <c r="B233" s="3">
        <v>45724</v>
      </c>
      <c r="C233" s="2" t="s">
        <v>64</v>
      </c>
      <c r="D233" s="2" t="s">
        <v>65</v>
      </c>
      <c r="E233" s="2" t="s">
        <v>55</v>
      </c>
      <c r="F233" s="2" t="s">
        <v>56</v>
      </c>
      <c r="G233" s="2" t="s">
        <v>16</v>
      </c>
      <c r="H233" s="2">
        <v>4</v>
      </c>
      <c r="I233" s="4">
        <v>149.99</v>
      </c>
      <c r="J233" s="2" t="s">
        <v>38</v>
      </c>
      <c r="K233" s="2" t="s">
        <v>8</v>
      </c>
      <c r="L233" s="2" t="s">
        <v>14</v>
      </c>
      <c r="M233" s="3">
        <v>45263</v>
      </c>
      <c r="N233" s="4">
        <v>599.96</v>
      </c>
    </row>
    <row r="234" spans="1:14" ht="15" customHeight="1" x14ac:dyDescent="0.35">
      <c r="A234" s="2" t="s">
        <v>387</v>
      </c>
      <c r="B234" s="3">
        <v>45726</v>
      </c>
      <c r="C234" s="2" t="s">
        <v>152</v>
      </c>
      <c r="D234" s="2" t="s">
        <v>153</v>
      </c>
      <c r="E234" s="2" t="s">
        <v>36</v>
      </c>
      <c r="F234" s="2" t="s">
        <v>37</v>
      </c>
      <c r="G234" s="2" t="s">
        <v>13</v>
      </c>
      <c r="H234" s="2">
        <v>1</v>
      </c>
      <c r="I234" s="4">
        <v>249.99</v>
      </c>
      <c r="J234" s="2" t="s">
        <v>38</v>
      </c>
      <c r="K234" s="2" t="s">
        <v>15</v>
      </c>
      <c r="L234" s="2" t="s">
        <v>14</v>
      </c>
      <c r="M234" s="3">
        <v>45117</v>
      </c>
      <c r="N234" s="4">
        <v>249.99</v>
      </c>
    </row>
    <row r="235" spans="1:14" ht="15" customHeight="1" x14ac:dyDescent="0.35">
      <c r="A235" s="2" t="s">
        <v>388</v>
      </c>
      <c r="B235" s="3">
        <v>45734</v>
      </c>
      <c r="C235" s="2" t="s">
        <v>200</v>
      </c>
      <c r="D235" s="2" t="s">
        <v>201</v>
      </c>
      <c r="E235" s="2" t="s">
        <v>46</v>
      </c>
      <c r="F235" s="2" t="s">
        <v>47</v>
      </c>
      <c r="G235" s="2" t="s">
        <v>9</v>
      </c>
      <c r="H235" s="2">
        <v>2</v>
      </c>
      <c r="I235" s="4">
        <v>59.99</v>
      </c>
      <c r="J235" s="2" t="s">
        <v>42</v>
      </c>
      <c r="K235" s="2" t="s">
        <v>19</v>
      </c>
      <c r="L235" s="2" t="s">
        <v>10</v>
      </c>
      <c r="M235" s="3">
        <v>45193</v>
      </c>
      <c r="N235" s="4">
        <v>119.98</v>
      </c>
    </row>
    <row r="236" spans="1:14" ht="15" customHeight="1" x14ac:dyDescent="0.35">
      <c r="A236" s="2" t="s">
        <v>389</v>
      </c>
      <c r="B236" s="3">
        <v>45737</v>
      </c>
      <c r="C236" s="2" t="s">
        <v>140</v>
      </c>
      <c r="D236" s="2" t="s">
        <v>141</v>
      </c>
      <c r="E236" s="2" t="s">
        <v>55</v>
      </c>
      <c r="F236" s="2" t="s">
        <v>56</v>
      </c>
      <c r="G236" s="2" t="s">
        <v>16</v>
      </c>
      <c r="H236" s="2">
        <v>2</v>
      </c>
      <c r="I236" s="4">
        <v>149.99</v>
      </c>
      <c r="J236" s="2" t="s">
        <v>38</v>
      </c>
      <c r="K236" s="2" t="s">
        <v>19</v>
      </c>
      <c r="L236" s="2" t="s">
        <v>17</v>
      </c>
      <c r="M236" s="3">
        <v>45233</v>
      </c>
      <c r="N236" s="4">
        <v>299.98</v>
      </c>
    </row>
    <row r="237" spans="1:14" ht="15" customHeight="1" x14ac:dyDescent="0.35">
      <c r="A237" s="2" t="s">
        <v>390</v>
      </c>
      <c r="B237" s="3">
        <v>45737</v>
      </c>
      <c r="C237" s="2" t="s">
        <v>158</v>
      </c>
      <c r="D237" s="2" t="s">
        <v>159</v>
      </c>
      <c r="E237" s="2" t="s">
        <v>70</v>
      </c>
      <c r="F237" s="2" t="s">
        <v>71</v>
      </c>
      <c r="G237" s="2" t="s">
        <v>13</v>
      </c>
      <c r="H237" s="2">
        <v>3</v>
      </c>
      <c r="I237" s="4">
        <v>899.99</v>
      </c>
      <c r="J237" s="2" t="s">
        <v>66</v>
      </c>
      <c r="K237" s="2" t="s">
        <v>15</v>
      </c>
      <c r="L237" s="2" t="s">
        <v>17</v>
      </c>
      <c r="M237" s="3">
        <v>44876</v>
      </c>
      <c r="N237" s="4">
        <v>2699.97</v>
      </c>
    </row>
    <row r="238" spans="1:14" ht="15" customHeight="1" x14ac:dyDescent="0.35">
      <c r="A238" s="2" t="s">
        <v>391</v>
      </c>
      <c r="B238" s="3">
        <v>45737</v>
      </c>
      <c r="C238" s="2" t="s">
        <v>58</v>
      </c>
      <c r="D238" s="2" t="s">
        <v>59</v>
      </c>
      <c r="E238" s="2" t="s">
        <v>70</v>
      </c>
      <c r="F238" s="2" t="s">
        <v>71</v>
      </c>
      <c r="G238" s="2" t="s">
        <v>13</v>
      </c>
      <c r="H238" s="2">
        <v>3</v>
      </c>
      <c r="I238" s="4">
        <v>899.99</v>
      </c>
      <c r="J238" s="2" t="s">
        <v>48</v>
      </c>
      <c r="K238" s="2" t="s">
        <v>15</v>
      </c>
      <c r="L238" s="2" t="s">
        <v>10</v>
      </c>
      <c r="M238" s="3">
        <v>44975</v>
      </c>
      <c r="N238" s="4">
        <v>2699.97</v>
      </c>
    </row>
    <row r="239" spans="1:14" ht="15" customHeight="1" x14ac:dyDescent="0.35">
      <c r="A239" s="2" t="s">
        <v>392</v>
      </c>
      <c r="B239" s="3">
        <v>45739</v>
      </c>
      <c r="C239" s="2" t="s">
        <v>34</v>
      </c>
      <c r="D239" s="2" t="s">
        <v>35</v>
      </c>
      <c r="E239" s="2" t="s">
        <v>113</v>
      </c>
      <c r="F239" s="2" t="s">
        <v>114</v>
      </c>
      <c r="G239" s="2" t="s">
        <v>16</v>
      </c>
      <c r="H239" s="2">
        <v>3</v>
      </c>
      <c r="I239" s="4">
        <v>299.99</v>
      </c>
      <c r="J239" s="2" t="s">
        <v>42</v>
      </c>
      <c r="K239" s="2" t="s">
        <v>19</v>
      </c>
      <c r="L239" s="2" t="s">
        <v>17</v>
      </c>
      <c r="M239" s="3">
        <v>45234</v>
      </c>
      <c r="N239" s="4">
        <v>899.97</v>
      </c>
    </row>
    <row r="240" spans="1:14" ht="15" customHeight="1" x14ac:dyDescent="0.35">
      <c r="A240" s="2" t="s">
        <v>393</v>
      </c>
      <c r="B240" s="3">
        <v>45740</v>
      </c>
      <c r="C240" s="2" t="s">
        <v>394</v>
      </c>
      <c r="D240" s="2" t="s">
        <v>395</v>
      </c>
      <c r="E240" s="2" t="s">
        <v>55</v>
      </c>
      <c r="F240" s="2" t="s">
        <v>56</v>
      </c>
      <c r="G240" s="2" t="s">
        <v>16</v>
      </c>
      <c r="H240" s="2">
        <v>4</v>
      </c>
      <c r="I240" s="4">
        <v>149.99</v>
      </c>
      <c r="J240" s="2" t="s">
        <v>48</v>
      </c>
      <c r="K240" s="2" t="s">
        <v>19</v>
      </c>
      <c r="L240" s="2" t="s">
        <v>14</v>
      </c>
      <c r="M240" s="3">
        <v>44560</v>
      </c>
      <c r="N240" s="4">
        <v>599.96</v>
      </c>
    </row>
    <row r="241" spans="1:14" ht="15" customHeight="1" x14ac:dyDescent="0.35">
      <c r="A241" s="2" t="s">
        <v>396</v>
      </c>
      <c r="B241" s="3">
        <v>45743</v>
      </c>
      <c r="C241" s="2" t="s">
        <v>110</v>
      </c>
      <c r="D241" s="2" t="s">
        <v>111</v>
      </c>
      <c r="E241" s="2" t="s">
        <v>122</v>
      </c>
      <c r="F241" s="2" t="s">
        <v>123</v>
      </c>
      <c r="G241" s="2" t="s">
        <v>9</v>
      </c>
      <c r="H241" s="2">
        <v>4</v>
      </c>
      <c r="I241" s="4">
        <v>79.989999999999995</v>
      </c>
      <c r="J241" s="2" t="s">
        <v>42</v>
      </c>
      <c r="K241" s="2" t="s">
        <v>8</v>
      </c>
      <c r="L241" s="2" t="s">
        <v>10</v>
      </c>
      <c r="M241" s="3">
        <v>45288</v>
      </c>
      <c r="N241" s="4">
        <v>319.95999999999998</v>
      </c>
    </row>
    <row r="242" spans="1:14" ht="15" customHeight="1" x14ac:dyDescent="0.35">
      <c r="A242" s="2" t="s">
        <v>397</v>
      </c>
      <c r="B242" s="3">
        <v>45745</v>
      </c>
      <c r="C242" s="2" t="s">
        <v>193</v>
      </c>
      <c r="D242" s="2" t="s">
        <v>194</v>
      </c>
      <c r="E242" s="2" t="s">
        <v>125</v>
      </c>
      <c r="F242" s="2" t="s">
        <v>126</v>
      </c>
      <c r="G242" s="2" t="s">
        <v>13</v>
      </c>
      <c r="H242" s="2">
        <v>5</v>
      </c>
      <c r="I242" s="4">
        <v>89.99</v>
      </c>
      <c r="J242" s="2" t="s">
        <v>48</v>
      </c>
      <c r="K242" s="2" t="s">
        <v>18</v>
      </c>
      <c r="L242" s="2" t="s">
        <v>10</v>
      </c>
      <c r="M242" s="3">
        <v>44704</v>
      </c>
      <c r="N242" s="4">
        <v>449.95</v>
      </c>
    </row>
    <row r="243" spans="1:14" ht="15" customHeight="1" x14ac:dyDescent="0.35">
      <c r="A243" s="2" t="s">
        <v>398</v>
      </c>
      <c r="B243" s="3">
        <v>45746</v>
      </c>
      <c r="C243" s="2" t="s">
        <v>101</v>
      </c>
      <c r="D243" s="2" t="s">
        <v>102</v>
      </c>
      <c r="E243" s="2" t="s">
        <v>55</v>
      </c>
      <c r="F243" s="2" t="s">
        <v>56</v>
      </c>
      <c r="G243" s="2" t="s">
        <v>16</v>
      </c>
      <c r="H243" s="2">
        <v>3</v>
      </c>
      <c r="I243" s="4">
        <v>149.99</v>
      </c>
      <c r="J243" s="2" t="s">
        <v>48</v>
      </c>
      <c r="K243" s="2" t="s">
        <v>8</v>
      </c>
      <c r="L243" s="2" t="s">
        <v>14</v>
      </c>
      <c r="M243" s="3">
        <v>45171</v>
      </c>
      <c r="N243" s="4">
        <v>449.97</v>
      </c>
    </row>
    <row r="244" spans="1:14" ht="15" customHeight="1" x14ac:dyDescent="0.35">
      <c r="A244" s="2" t="s">
        <v>399</v>
      </c>
      <c r="B244" s="3">
        <v>45746</v>
      </c>
      <c r="C244" s="2" t="s">
        <v>73</v>
      </c>
      <c r="D244" s="2" t="s">
        <v>74</v>
      </c>
      <c r="E244" s="2" t="s">
        <v>125</v>
      </c>
      <c r="F244" s="2" t="s">
        <v>126</v>
      </c>
      <c r="G244" s="2" t="s">
        <v>13</v>
      </c>
      <c r="H244" s="2">
        <v>2</v>
      </c>
      <c r="I244" s="4">
        <v>89.99</v>
      </c>
      <c r="J244" s="2" t="s">
        <v>66</v>
      </c>
      <c r="K244" s="2" t="s">
        <v>19</v>
      </c>
      <c r="L244" s="2" t="s">
        <v>17</v>
      </c>
      <c r="M244" s="3">
        <v>44522</v>
      </c>
      <c r="N244" s="4">
        <v>179.98</v>
      </c>
    </row>
    <row r="245" spans="1:14" ht="15" customHeight="1" x14ac:dyDescent="0.35">
      <c r="A245" s="2" t="s">
        <v>400</v>
      </c>
      <c r="B245" s="3">
        <v>45748</v>
      </c>
      <c r="C245" s="2" t="s">
        <v>110</v>
      </c>
      <c r="D245" s="2" t="s">
        <v>111</v>
      </c>
      <c r="E245" s="2" t="s">
        <v>88</v>
      </c>
      <c r="F245" s="2" t="s">
        <v>89</v>
      </c>
      <c r="G245" s="2" t="s">
        <v>13</v>
      </c>
      <c r="H245" s="2">
        <v>2</v>
      </c>
      <c r="I245" s="4">
        <v>699.99</v>
      </c>
      <c r="J245" s="2" t="s">
        <v>48</v>
      </c>
      <c r="K245" s="2" t="s">
        <v>15</v>
      </c>
      <c r="L245" s="2" t="s">
        <v>14</v>
      </c>
      <c r="M245" s="3">
        <v>44618</v>
      </c>
      <c r="N245" s="4">
        <v>1399.98</v>
      </c>
    </row>
    <row r="246" spans="1:14" ht="15" customHeight="1" x14ac:dyDescent="0.35">
      <c r="A246" s="2" t="s">
        <v>401</v>
      </c>
      <c r="B246" s="3">
        <v>45749</v>
      </c>
      <c r="C246" s="2" t="s">
        <v>131</v>
      </c>
      <c r="D246" s="2" t="s">
        <v>132</v>
      </c>
      <c r="E246" s="2" t="s">
        <v>70</v>
      </c>
      <c r="F246" s="2" t="s">
        <v>71</v>
      </c>
      <c r="G246" s="2" t="s">
        <v>13</v>
      </c>
      <c r="H246" s="2">
        <v>3</v>
      </c>
      <c r="I246" s="4">
        <v>899.99</v>
      </c>
      <c r="J246" s="2" t="s">
        <v>38</v>
      </c>
      <c r="K246" s="2" t="s">
        <v>8</v>
      </c>
      <c r="L246" s="2" t="s">
        <v>14</v>
      </c>
      <c r="M246" s="3">
        <v>44953</v>
      </c>
      <c r="N246" s="4">
        <v>2699.97</v>
      </c>
    </row>
    <row r="247" spans="1:14" ht="15" customHeight="1" x14ac:dyDescent="0.35">
      <c r="A247" s="2" t="s">
        <v>402</v>
      </c>
      <c r="B247" s="3">
        <v>45755</v>
      </c>
      <c r="C247" s="2" t="s">
        <v>101</v>
      </c>
      <c r="D247" s="2" t="s">
        <v>102</v>
      </c>
      <c r="E247" s="2" t="s">
        <v>122</v>
      </c>
      <c r="F247" s="2" t="s">
        <v>123</v>
      </c>
      <c r="G247" s="2" t="s">
        <v>9</v>
      </c>
      <c r="H247" s="2">
        <v>3</v>
      </c>
      <c r="I247" s="4">
        <v>79.989999999999995</v>
      </c>
      <c r="J247" s="2" t="s">
        <v>42</v>
      </c>
      <c r="K247" s="2" t="s">
        <v>15</v>
      </c>
      <c r="L247" s="2" t="s">
        <v>10</v>
      </c>
      <c r="M247" s="3">
        <v>44511</v>
      </c>
      <c r="N247" s="4">
        <v>239.97</v>
      </c>
    </row>
    <row r="248" spans="1:14" ht="15" customHeight="1" x14ac:dyDescent="0.35">
      <c r="A248" s="2" t="s">
        <v>403</v>
      </c>
      <c r="B248" s="3">
        <v>45756</v>
      </c>
      <c r="C248" s="2" t="s">
        <v>68</v>
      </c>
      <c r="D248" s="2" t="s">
        <v>69</v>
      </c>
      <c r="E248" s="2" t="s">
        <v>125</v>
      </c>
      <c r="F248" s="2" t="s">
        <v>126</v>
      </c>
      <c r="G248" s="2" t="s">
        <v>13</v>
      </c>
      <c r="H248" s="2">
        <v>1</v>
      </c>
      <c r="I248" s="4">
        <v>89.99</v>
      </c>
      <c r="J248" s="2" t="s">
        <v>66</v>
      </c>
      <c r="K248" s="2" t="s">
        <v>12</v>
      </c>
      <c r="L248" s="2" t="s">
        <v>10</v>
      </c>
      <c r="M248" s="3">
        <v>45346</v>
      </c>
      <c r="N248" s="4">
        <v>89.99</v>
      </c>
    </row>
    <row r="249" spans="1:14" ht="15" customHeight="1" x14ac:dyDescent="0.35">
      <c r="A249" s="2" t="s">
        <v>404</v>
      </c>
      <c r="B249" s="3">
        <v>45758</v>
      </c>
      <c r="C249" s="2" t="s">
        <v>301</v>
      </c>
      <c r="D249" s="2" t="s">
        <v>302</v>
      </c>
      <c r="E249" s="2" t="s">
        <v>88</v>
      </c>
      <c r="F249" s="2" t="s">
        <v>89</v>
      </c>
      <c r="G249" s="2" t="s">
        <v>13</v>
      </c>
      <c r="H249" s="2">
        <v>3</v>
      </c>
      <c r="I249" s="4">
        <v>699.99</v>
      </c>
      <c r="J249" s="2" t="s">
        <v>48</v>
      </c>
      <c r="K249" s="2" t="s">
        <v>15</v>
      </c>
      <c r="L249" s="2" t="s">
        <v>10</v>
      </c>
      <c r="M249" s="3">
        <v>44909</v>
      </c>
      <c r="N249" s="4">
        <v>2099.9699999999998</v>
      </c>
    </row>
    <row r="250" spans="1:14" ht="15" customHeight="1" x14ac:dyDescent="0.35">
      <c r="A250" s="2" t="s">
        <v>405</v>
      </c>
      <c r="B250" s="3">
        <v>45758</v>
      </c>
      <c r="C250" s="2" t="s">
        <v>234</v>
      </c>
      <c r="D250" s="2" t="s">
        <v>235</v>
      </c>
      <c r="E250" s="2" t="s">
        <v>125</v>
      </c>
      <c r="F250" s="2" t="s">
        <v>126</v>
      </c>
      <c r="G250" s="2" t="s">
        <v>13</v>
      </c>
      <c r="H250" s="2">
        <v>2</v>
      </c>
      <c r="I250" s="4">
        <v>89.99</v>
      </c>
      <c r="J250" s="2" t="s">
        <v>66</v>
      </c>
      <c r="K250" s="2" t="s">
        <v>12</v>
      </c>
      <c r="L250" s="2" t="s">
        <v>10</v>
      </c>
      <c r="M250" s="3">
        <v>45088</v>
      </c>
      <c r="N250" s="4">
        <v>179.98</v>
      </c>
    </row>
    <row r="251" spans="1:14" ht="15" customHeight="1" x14ac:dyDescent="0.35">
      <c r="A251" s="2" t="s">
        <v>406</v>
      </c>
      <c r="B251" s="3">
        <v>45758</v>
      </c>
      <c r="C251" s="2" t="s">
        <v>146</v>
      </c>
      <c r="D251" s="2" t="s">
        <v>147</v>
      </c>
      <c r="E251" s="2" t="s">
        <v>125</v>
      </c>
      <c r="F251" s="2" t="s">
        <v>126</v>
      </c>
      <c r="G251" s="2" t="s">
        <v>13</v>
      </c>
      <c r="H251" s="2">
        <v>3</v>
      </c>
      <c r="I251" s="4">
        <v>89.99</v>
      </c>
      <c r="J251" s="2" t="s">
        <v>66</v>
      </c>
      <c r="K251" s="2" t="s">
        <v>15</v>
      </c>
      <c r="L251" s="2" t="s">
        <v>17</v>
      </c>
      <c r="M251" s="3">
        <v>44878</v>
      </c>
      <c r="N251" s="4">
        <v>269.97000000000003</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N251"/>
  <sheetViews>
    <sheetView tabSelected="1" zoomScale="81" zoomScaleNormal="100" workbookViewId="0">
      <pane ySplit="1" topLeftCell="A25" activePane="bottomLeft" state="frozen"/>
      <selection activeCell="C1" sqref="C1"/>
      <selection pane="bottomLeft" activeCell="P5" sqref="P5"/>
    </sheetView>
  </sheetViews>
  <sheetFormatPr defaultColWidth="8.6328125" defaultRowHeight="14.5" x14ac:dyDescent="0.35"/>
  <cols>
    <col min="1" max="1" width="14" customWidth="1"/>
    <col min="2" max="3" width="12" customWidth="1"/>
    <col min="4" max="4" width="18" customWidth="1"/>
    <col min="5" max="5" width="11" customWidth="1"/>
    <col min="6" max="6" width="14" customWidth="1"/>
    <col min="7" max="7" width="12" customWidth="1"/>
    <col min="8" max="8" width="10" customWidth="1"/>
    <col min="9" max="9" width="12" customWidth="1"/>
    <col min="10" max="10" width="14" customWidth="1"/>
    <col min="11" max="11" width="10" customWidth="1"/>
    <col min="12" max="12" width="16" customWidth="1"/>
    <col min="13" max="13" width="14" customWidth="1"/>
    <col min="14" max="14" width="13" customWidth="1"/>
  </cols>
  <sheetData>
    <row r="1" spans="1:14" ht="15" customHeight="1" x14ac:dyDescent="0.35">
      <c r="A1" s="5" t="s">
        <v>20</v>
      </c>
      <c r="B1" s="5" t="s">
        <v>11</v>
      </c>
      <c r="C1" s="5" t="s">
        <v>407</v>
      </c>
      <c r="D1" s="5" t="s">
        <v>22</v>
      </c>
      <c r="E1" s="5" t="s">
        <v>23</v>
      </c>
      <c r="F1" s="5" t="s">
        <v>24</v>
      </c>
      <c r="G1" s="5" t="s">
        <v>25</v>
      </c>
      <c r="H1" s="5" t="s">
        <v>26</v>
      </c>
      <c r="I1" s="5" t="s">
        <v>27</v>
      </c>
      <c r="J1" s="5" t="s">
        <v>28</v>
      </c>
      <c r="K1" s="5" t="s">
        <v>29</v>
      </c>
      <c r="L1" s="5" t="s">
        <v>30</v>
      </c>
      <c r="M1" s="5" t="s">
        <v>31</v>
      </c>
      <c r="N1" s="5" t="s">
        <v>32</v>
      </c>
    </row>
    <row r="2" spans="1:14" ht="15" customHeight="1" x14ac:dyDescent="0.35">
      <c r="A2" s="2" t="str">
        <f>UPPER(TRIM(Raw_Data!A2))</f>
        <v>TRX0155</v>
      </c>
      <c r="B2" s="3">
        <f>Raw_Data!B2</f>
        <v>45393</v>
      </c>
      <c r="C2" s="2" t="str">
        <f>UPPER(TRIM(Raw_Data!C2))</f>
        <v>CUST023</v>
      </c>
      <c r="D2" s="2" t="str">
        <f>PROPER(TRIM(Raw_Data!D2))</f>
        <v>Paul Baker</v>
      </c>
      <c r="E2" s="2" t="str">
        <f>UPPER(TRIM(Raw_Data!E2))</f>
        <v>P009</v>
      </c>
      <c r="F2" s="2" t="str">
        <f>PROPER(TRIM(Raw_Data!F2))</f>
        <v>Monitor</v>
      </c>
      <c r="G2" s="2" t="str">
        <f>PROPER(TRIM(Raw_Data!G2))</f>
        <v>Electronics</v>
      </c>
      <c r="H2" s="2">
        <f>Raw_Data!H2</f>
        <v>3</v>
      </c>
      <c r="I2" s="4">
        <f>Raw_Data!I2</f>
        <v>249.99</v>
      </c>
      <c r="J2" s="2" t="str">
        <f>PROPER(TRIM(Raw_Data!J2))</f>
        <v>Cash</v>
      </c>
      <c r="K2" s="2" t="str">
        <f>PROPER(TRIM(Raw_Data!K2))</f>
        <v>Central</v>
      </c>
      <c r="L2" s="2" t="str">
        <f>PROPER(TRIM(Raw_Data!L2))</f>
        <v>Basic</v>
      </c>
      <c r="M2" s="3">
        <f>Raw_Data!M2</f>
        <v>44425</v>
      </c>
      <c r="N2" s="4">
        <f>Raw_Data!N2</f>
        <v>749.97</v>
      </c>
    </row>
    <row r="3" spans="1:14" ht="15" customHeight="1" x14ac:dyDescent="0.35">
      <c r="A3" s="2" t="str">
        <f>UPPER(TRIM(Raw_Data!A3))</f>
        <v>TRX0023</v>
      </c>
      <c r="B3" s="3">
        <f>Raw_Data!B3</f>
        <v>45396</v>
      </c>
      <c r="C3" s="2" t="str">
        <f>UPPER(TRIM(Raw_Data!C3))</f>
        <v>CUST013</v>
      </c>
      <c r="D3" s="2" t="str">
        <f>PROPER(TRIM(Raw_Data!D3))</f>
        <v>Joseph Jackson</v>
      </c>
      <c r="E3" s="2" t="str">
        <f>UPPER(TRIM(Raw_Data!E3))</f>
        <v>P009</v>
      </c>
      <c r="F3" s="2" t="str">
        <f>PROPER(TRIM(Raw_Data!F3))</f>
        <v>Monitor</v>
      </c>
      <c r="G3" s="2" t="str">
        <f>PROPER(TRIM(Raw_Data!G3))</f>
        <v>Electronics</v>
      </c>
      <c r="H3" s="2">
        <f>Raw_Data!H3</f>
        <v>3</v>
      </c>
      <c r="I3" s="4">
        <f>Raw_Data!I3</f>
        <v>249.99</v>
      </c>
      <c r="J3" s="2" t="str">
        <f>PROPER(TRIM(Raw_Data!J3))</f>
        <v>Credit Card</v>
      </c>
      <c r="K3" s="2" t="str">
        <f>PROPER(TRIM(Raw_Data!K3))</f>
        <v>Central</v>
      </c>
      <c r="L3" s="2" t="str">
        <f>PROPER(TRIM(Raw_Data!L3))</f>
        <v>Premium</v>
      </c>
      <c r="M3" s="3">
        <f>Raw_Data!M3</f>
        <v>44575</v>
      </c>
      <c r="N3" s="4">
        <f>Raw_Data!N3</f>
        <v>749.97</v>
      </c>
    </row>
    <row r="4" spans="1:14" ht="15" customHeight="1" x14ac:dyDescent="0.35">
      <c r="A4" s="2" t="str">
        <f>UPPER(TRIM(Raw_Data!A4))</f>
        <v>TRX0139</v>
      </c>
      <c r="B4" s="3">
        <f>Raw_Data!B4</f>
        <v>45399</v>
      </c>
      <c r="C4" s="2" t="str">
        <f>UPPER(TRIM(Raw_Data!C4))</f>
        <v>CUST021</v>
      </c>
      <c r="D4" s="2" t="str">
        <f>PROPER(TRIM(Raw_Data!D4))</f>
        <v>Kevin Scott</v>
      </c>
      <c r="E4" s="2" t="str">
        <f>UPPER(TRIM(Raw_Data!E4))</f>
        <v>P005</v>
      </c>
      <c r="F4" s="2" t="str">
        <f>PROPER(TRIM(Raw_Data!F4))</f>
        <v>Blender</v>
      </c>
      <c r="G4" s="2" t="str">
        <f>PROPER(TRIM(Raw_Data!G4))</f>
        <v>Appliances</v>
      </c>
      <c r="H4" s="2">
        <f>Raw_Data!H4</f>
        <v>3</v>
      </c>
      <c r="I4" s="4">
        <f>Raw_Data!I4</f>
        <v>59.99</v>
      </c>
      <c r="J4" s="2" t="str">
        <f>PROPER(TRIM(Raw_Data!J4))</f>
        <v>Paypal</v>
      </c>
      <c r="K4" s="2" t="str">
        <f>PROPER(TRIM(Raw_Data!K4))</f>
        <v>South</v>
      </c>
      <c r="L4" s="2" t="str">
        <f>PROPER(TRIM(Raw_Data!L4))</f>
        <v>Standard</v>
      </c>
      <c r="M4" s="3">
        <f>Raw_Data!M4</f>
        <v>45262</v>
      </c>
      <c r="N4" s="4">
        <f>Raw_Data!N4</f>
        <v>179.97</v>
      </c>
    </row>
    <row r="5" spans="1:14" ht="15" customHeight="1" x14ac:dyDescent="0.35">
      <c r="A5" s="2" t="str">
        <f>UPPER(TRIM(Raw_Data!A5))</f>
        <v>TRX0043</v>
      </c>
      <c r="B5" s="3">
        <f>Raw_Data!B5</f>
        <v>45400</v>
      </c>
      <c r="C5" s="2" t="str">
        <f>UPPER(TRIM(Raw_Data!C5))</f>
        <v>CUST046</v>
      </c>
      <c r="D5" s="2" t="str">
        <f>PROPER(TRIM(Raw_Data!D5))</f>
        <v>Kathleen Bennett</v>
      </c>
      <c r="E5" s="2" t="str">
        <f>UPPER(TRIM(Raw_Data!E5))</f>
        <v>P005</v>
      </c>
      <c r="F5" s="2" t="str">
        <f>PROPER(TRIM(Raw_Data!F5))</f>
        <v>Blender</v>
      </c>
      <c r="G5" s="2" t="str">
        <f>PROPER(TRIM(Raw_Data!G5))</f>
        <v>Appliances</v>
      </c>
      <c r="H5" s="2">
        <f>Raw_Data!H5</f>
        <v>3</v>
      </c>
      <c r="I5" s="4">
        <f>Raw_Data!I5</f>
        <v>59.99</v>
      </c>
      <c r="J5" s="2" t="str">
        <f>PROPER(TRIM(Raw_Data!J5))</f>
        <v>Cash</v>
      </c>
      <c r="K5" s="2" t="str">
        <f>PROPER(TRIM(Raw_Data!K5))</f>
        <v>North</v>
      </c>
      <c r="L5" s="2" t="str">
        <f>PROPER(TRIM(Raw_Data!L5))</f>
        <v>Premium</v>
      </c>
      <c r="M5" s="3">
        <f>Raw_Data!M5</f>
        <v>45114</v>
      </c>
      <c r="N5" s="4">
        <f>Raw_Data!N5</f>
        <v>179.97</v>
      </c>
    </row>
    <row r="6" spans="1:14" ht="15" customHeight="1" x14ac:dyDescent="0.35">
      <c r="A6" s="2" t="str">
        <f>UPPER(TRIM(Raw_Data!A6))</f>
        <v>TRX0212</v>
      </c>
      <c r="B6" s="3">
        <f>Raw_Data!B6</f>
        <v>45400</v>
      </c>
      <c r="C6" s="2" t="str">
        <f>UPPER(TRIM(Raw_Data!C6))</f>
        <v>CUST003</v>
      </c>
      <c r="D6" s="2" t="str">
        <f>PROPER(TRIM(Raw_Data!D6))</f>
        <v>Michael Brown</v>
      </c>
      <c r="E6" s="2" t="str">
        <f>UPPER(TRIM(Raw_Data!E6))</f>
        <v>P008</v>
      </c>
      <c r="F6" s="2" t="str">
        <f>PROPER(TRIM(Raw_Data!F6))</f>
        <v>Bookshelf</v>
      </c>
      <c r="G6" s="2" t="str">
        <f>PROPER(TRIM(Raw_Data!G6))</f>
        <v>Furniture</v>
      </c>
      <c r="H6" s="2">
        <f>Raw_Data!H6</f>
        <v>5</v>
      </c>
      <c r="I6" s="4">
        <f>Raw_Data!I6</f>
        <v>149.99</v>
      </c>
      <c r="J6" s="2" t="str">
        <f>PROPER(TRIM(Raw_Data!J6))</f>
        <v>Credit Card</v>
      </c>
      <c r="K6" s="2" t="str">
        <f>PROPER(TRIM(Raw_Data!K6))</f>
        <v>North</v>
      </c>
      <c r="L6" s="2" t="str">
        <f>PROPER(TRIM(Raw_Data!L6))</f>
        <v>Premium</v>
      </c>
      <c r="M6" s="3">
        <f>Raw_Data!M6</f>
        <v>45295</v>
      </c>
      <c r="N6" s="4">
        <f>Raw_Data!N6</f>
        <v>749.95</v>
      </c>
    </row>
    <row r="7" spans="1:14" ht="15" customHeight="1" x14ac:dyDescent="0.35">
      <c r="A7" s="2" t="str">
        <f>UPPER(TRIM(Raw_Data!A7))</f>
        <v>TRX0092</v>
      </c>
      <c r="B7" s="3">
        <f>Raw_Data!B7</f>
        <v>45403</v>
      </c>
      <c r="C7" s="2" t="str">
        <f>UPPER(TRIM(Raw_Data!C7))</f>
        <v>CUST024</v>
      </c>
      <c r="D7" s="2" t="str">
        <f>PROPER(TRIM(Raw_Data!D7))</f>
        <v>Dorothy Nelson</v>
      </c>
      <c r="E7" s="2" t="str">
        <f>UPPER(TRIM(Raw_Data!E7))</f>
        <v>P005</v>
      </c>
      <c r="F7" s="2" t="str">
        <f>PROPER(TRIM(Raw_Data!F7))</f>
        <v>Blender</v>
      </c>
      <c r="G7" s="2" t="str">
        <f>PROPER(TRIM(Raw_Data!G7))</f>
        <v>Appliances</v>
      </c>
      <c r="H7" s="2">
        <f>Raw_Data!H7</f>
        <v>2</v>
      </c>
      <c r="I7" s="4">
        <f>Raw_Data!I7</f>
        <v>59.99</v>
      </c>
      <c r="J7" s="2" t="str">
        <f>PROPER(TRIM(Raw_Data!J7))</f>
        <v>Cash</v>
      </c>
      <c r="K7" s="2" t="str">
        <f>PROPER(TRIM(Raw_Data!K7))</f>
        <v>West</v>
      </c>
      <c r="L7" s="2" t="str">
        <f>PROPER(TRIM(Raw_Data!L7))</f>
        <v>Standard</v>
      </c>
      <c r="M7" s="3">
        <f>Raw_Data!M7</f>
        <v>44746</v>
      </c>
      <c r="N7" s="4">
        <f>Raw_Data!N7</f>
        <v>119.98</v>
      </c>
    </row>
    <row r="8" spans="1:14" ht="15" customHeight="1" x14ac:dyDescent="0.35">
      <c r="A8" s="2" t="str">
        <f>UPPER(TRIM(Raw_Data!A8))</f>
        <v>TRX0193</v>
      </c>
      <c r="B8" s="3">
        <f>Raw_Data!B8</f>
        <v>45403</v>
      </c>
      <c r="C8" s="2" t="str">
        <f>UPPER(TRIM(Raw_Data!C8))</f>
        <v>CUST024</v>
      </c>
      <c r="D8" s="2" t="str">
        <f>PROPER(TRIM(Raw_Data!D8))</f>
        <v>Dorothy Nelson</v>
      </c>
      <c r="E8" s="2" t="str">
        <f>UPPER(TRIM(Raw_Data!E8))</f>
        <v>P003</v>
      </c>
      <c r="F8" s="2" t="str">
        <f>PROPER(TRIM(Raw_Data!F8))</f>
        <v>Headphones</v>
      </c>
      <c r="G8" s="2" t="str">
        <f>PROPER(TRIM(Raw_Data!G8))</f>
        <v>Electronics</v>
      </c>
      <c r="H8" s="2">
        <f>Raw_Data!H8</f>
        <v>5</v>
      </c>
      <c r="I8" s="4">
        <f>Raw_Data!I8</f>
        <v>149.99</v>
      </c>
      <c r="J8" s="2" t="str">
        <f>PROPER(TRIM(Raw_Data!J8))</f>
        <v>Credit Card</v>
      </c>
      <c r="K8" s="2" t="str">
        <f>PROPER(TRIM(Raw_Data!K8))</f>
        <v>Central</v>
      </c>
      <c r="L8" s="2" t="str">
        <f>PROPER(TRIM(Raw_Data!L8))</f>
        <v>Standard</v>
      </c>
      <c r="M8" s="3">
        <f>Raw_Data!M8</f>
        <v>44418</v>
      </c>
      <c r="N8" s="4">
        <f>Raw_Data!N8</f>
        <v>749.95</v>
      </c>
    </row>
    <row r="9" spans="1:14" ht="15" customHeight="1" x14ac:dyDescent="0.35">
      <c r="A9" s="2" t="str">
        <f>UPPER(TRIM(Raw_Data!A9))</f>
        <v>TRX0240</v>
      </c>
      <c r="B9" s="3">
        <f>Raw_Data!B9</f>
        <v>45403</v>
      </c>
      <c r="C9" s="2" t="str">
        <f>UPPER(TRIM(Raw_Data!C9))</f>
        <v>CUST017</v>
      </c>
      <c r="D9" s="2" t="str">
        <f>PROPER(TRIM(Raw_Data!D9))</f>
        <v>Charles Allen</v>
      </c>
      <c r="E9" s="2" t="str">
        <f>UPPER(TRIM(Raw_Data!E9))</f>
        <v>P005</v>
      </c>
      <c r="F9" s="2" t="str">
        <f>PROPER(TRIM(Raw_Data!F9))</f>
        <v>Blender</v>
      </c>
      <c r="G9" s="2" t="str">
        <f>PROPER(TRIM(Raw_Data!G9))</f>
        <v>Appliances</v>
      </c>
      <c r="H9" s="2">
        <f>Raw_Data!H9</f>
        <v>3</v>
      </c>
      <c r="I9" s="4">
        <f>Raw_Data!I9</f>
        <v>59.99</v>
      </c>
      <c r="J9" s="2" t="str">
        <f>PROPER(TRIM(Raw_Data!J9))</f>
        <v>Debit Card</v>
      </c>
      <c r="K9" s="2" t="str">
        <f>PROPER(TRIM(Raw_Data!K9))</f>
        <v>South</v>
      </c>
      <c r="L9" s="2" t="str">
        <f>PROPER(TRIM(Raw_Data!L9))</f>
        <v>Basic</v>
      </c>
      <c r="M9" s="3">
        <f>Raw_Data!M9</f>
        <v>45007</v>
      </c>
      <c r="N9" s="4">
        <f>Raw_Data!N9</f>
        <v>179.97</v>
      </c>
    </row>
    <row r="10" spans="1:14" ht="15" customHeight="1" x14ac:dyDescent="0.35">
      <c r="A10" s="2" t="str">
        <f>UPPER(TRIM(Raw_Data!A10))</f>
        <v>TRX0135</v>
      </c>
      <c r="B10" s="3">
        <f>Raw_Data!B10</f>
        <v>45405</v>
      </c>
      <c r="C10" s="2" t="str">
        <f>UPPER(TRIM(Raw_Data!C10))</f>
        <v>CUST009</v>
      </c>
      <c r="D10" s="2" t="str">
        <f>PROPER(TRIM(Raw_Data!D10))</f>
        <v>Robert Thomas</v>
      </c>
      <c r="E10" s="2" t="str">
        <f>UPPER(TRIM(Raw_Data!E10))</f>
        <v>P001</v>
      </c>
      <c r="F10" s="2" t="str">
        <f>PROPER(TRIM(Raw_Data!F10))</f>
        <v>Laptop</v>
      </c>
      <c r="G10" s="2" t="str">
        <f>PROPER(TRIM(Raw_Data!G10))</f>
        <v>Electronics</v>
      </c>
      <c r="H10" s="2">
        <f>Raw_Data!H10</f>
        <v>3</v>
      </c>
      <c r="I10" s="4">
        <f>Raw_Data!I10</f>
        <v>899.99</v>
      </c>
      <c r="J10" s="2" t="str">
        <f>PROPER(TRIM(Raw_Data!J10))</f>
        <v>Paypal</v>
      </c>
      <c r="K10" s="2" t="str">
        <f>PROPER(TRIM(Raw_Data!K10))</f>
        <v>East</v>
      </c>
      <c r="L10" s="2" t="str">
        <f>PROPER(TRIM(Raw_Data!L10))</f>
        <v>Standard</v>
      </c>
      <c r="M10" s="3">
        <f>Raw_Data!M10</f>
        <v>45299</v>
      </c>
      <c r="N10" s="4">
        <f>Raw_Data!N10</f>
        <v>2699.97</v>
      </c>
    </row>
    <row r="11" spans="1:14" ht="15" customHeight="1" x14ac:dyDescent="0.35">
      <c r="A11" s="2" t="str">
        <f>UPPER(TRIM(Raw_Data!A11))</f>
        <v>TRX0185</v>
      </c>
      <c r="B11" s="3">
        <f>Raw_Data!B11</f>
        <v>45408</v>
      </c>
      <c r="C11" s="2" t="str">
        <f>UPPER(TRIM(Raw_Data!C11))</f>
        <v>CUST026</v>
      </c>
      <c r="D11" s="2" t="str">
        <f>PROPER(TRIM(Raw_Data!D11))</f>
        <v>Karen Hill</v>
      </c>
      <c r="E11" s="2" t="str">
        <f>UPPER(TRIM(Raw_Data!E11))</f>
        <v>P005</v>
      </c>
      <c r="F11" s="2" t="str">
        <f>PROPER(TRIM(Raw_Data!F11))</f>
        <v>Blender</v>
      </c>
      <c r="G11" s="2" t="str">
        <f>PROPER(TRIM(Raw_Data!G11))</f>
        <v>Appliances</v>
      </c>
      <c r="H11" s="2">
        <f>Raw_Data!H11</f>
        <v>3</v>
      </c>
      <c r="I11" s="4">
        <f>Raw_Data!I11</f>
        <v>59.99</v>
      </c>
      <c r="J11" s="2" t="str">
        <f>PROPER(TRIM(Raw_Data!J11))</f>
        <v>Cash</v>
      </c>
      <c r="K11" s="2" t="str">
        <f>PROPER(TRIM(Raw_Data!K11))</f>
        <v>West</v>
      </c>
      <c r="L11" s="2" t="str">
        <f>PROPER(TRIM(Raw_Data!L11))</f>
        <v>Premium</v>
      </c>
      <c r="M11" s="3">
        <f>Raw_Data!M11</f>
        <v>45207</v>
      </c>
      <c r="N11" s="4">
        <f>Raw_Data!N11</f>
        <v>179.97</v>
      </c>
    </row>
    <row r="12" spans="1:14" ht="15" customHeight="1" x14ac:dyDescent="0.35">
      <c r="A12" s="2" t="str">
        <f>UPPER(TRIM(Raw_Data!A12))</f>
        <v>TRX0138</v>
      </c>
      <c r="B12" s="3">
        <f>Raw_Data!B12</f>
        <v>45408</v>
      </c>
      <c r="C12" s="2" t="str">
        <f>UPPER(TRIM(Raw_Data!C12))</f>
        <v>CUST022</v>
      </c>
      <c r="D12" s="2" t="str">
        <f>PROPER(TRIM(Raw_Data!D12))</f>
        <v>Susan Green</v>
      </c>
      <c r="E12" s="2" t="str">
        <f>UPPER(TRIM(Raw_Data!E12))</f>
        <v>P008</v>
      </c>
      <c r="F12" s="2" t="str">
        <f>PROPER(TRIM(Raw_Data!F12))</f>
        <v>Bookshelf</v>
      </c>
      <c r="G12" s="2" t="str">
        <f>PROPER(TRIM(Raw_Data!G12))</f>
        <v>Furniture</v>
      </c>
      <c r="H12" s="2">
        <f>Raw_Data!H12</f>
        <v>1</v>
      </c>
      <c r="I12" s="4">
        <f>Raw_Data!I12</f>
        <v>149.99</v>
      </c>
      <c r="J12" s="2" t="str">
        <f>PROPER(TRIM(Raw_Data!J12))</f>
        <v>Credit Card</v>
      </c>
      <c r="K12" s="2" t="str">
        <f>PROPER(TRIM(Raw_Data!K12))</f>
        <v>West</v>
      </c>
      <c r="L12" s="2" t="str">
        <f>PROPER(TRIM(Raw_Data!L12))</f>
        <v>Standard</v>
      </c>
      <c r="M12" s="3">
        <f>Raw_Data!M12</f>
        <v>45103</v>
      </c>
      <c r="N12" s="4">
        <f>Raw_Data!N12</f>
        <v>149.99</v>
      </c>
    </row>
    <row r="13" spans="1:14" ht="15" customHeight="1" x14ac:dyDescent="0.35">
      <c r="A13" s="2" t="str">
        <f>UPPER(TRIM(Raw_Data!A13))</f>
        <v>TRX0209</v>
      </c>
      <c r="B13" s="3">
        <f>Raw_Data!B13</f>
        <v>45408</v>
      </c>
      <c r="C13" s="2" t="str">
        <f>UPPER(TRIM(Raw_Data!C13))</f>
        <v>CUST046</v>
      </c>
      <c r="D13" s="2" t="str">
        <f>PROPER(TRIM(Raw_Data!D13))</f>
        <v>Kathleen Bennett</v>
      </c>
      <c r="E13" s="2" t="str">
        <f>UPPER(TRIM(Raw_Data!E13))</f>
        <v>P008</v>
      </c>
      <c r="F13" s="2" t="str">
        <f>PROPER(TRIM(Raw_Data!F13))</f>
        <v>Bookshelf</v>
      </c>
      <c r="G13" s="2" t="str">
        <f>PROPER(TRIM(Raw_Data!G13))</f>
        <v>Furniture</v>
      </c>
      <c r="H13" s="2">
        <f>Raw_Data!H13</f>
        <v>5</v>
      </c>
      <c r="I13" s="4">
        <f>Raw_Data!I13</f>
        <v>149.99</v>
      </c>
      <c r="J13" s="2" t="str">
        <f>PROPER(TRIM(Raw_Data!J13))</f>
        <v>Debit Card</v>
      </c>
      <c r="K13" s="2" t="str">
        <f>PROPER(TRIM(Raw_Data!K13))</f>
        <v>North</v>
      </c>
      <c r="L13" s="2" t="str">
        <f>PROPER(TRIM(Raw_Data!L13))</f>
        <v>Basic</v>
      </c>
      <c r="M13" s="3">
        <f>Raw_Data!M13</f>
        <v>44830</v>
      </c>
      <c r="N13" s="4">
        <f>Raw_Data!N13</f>
        <v>749.95</v>
      </c>
    </row>
    <row r="14" spans="1:14" ht="15" customHeight="1" x14ac:dyDescent="0.35">
      <c r="A14" s="2" t="str">
        <f>UPPER(TRIM(Raw_Data!A14))</f>
        <v>TRX0246</v>
      </c>
      <c r="B14" s="3">
        <f>Raw_Data!B14</f>
        <v>45408</v>
      </c>
      <c r="C14" s="2" t="str">
        <f>UPPER(TRIM(Raw_Data!C14))</f>
        <v>CUST041</v>
      </c>
      <c r="D14" s="2" t="str">
        <f>PROPER(TRIM(Raw_Data!D14))</f>
        <v>Peter Richardson</v>
      </c>
      <c r="E14" s="2" t="str">
        <f>UPPER(TRIM(Raw_Data!E14))</f>
        <v>P008</v>
      </c>
      <c r="F14" s="2" t="str">
        <f>PROPER(TRIM(Raw_Data!F14))</f>
        <v>Bookshelf</v>
      </c>
      <c r="G14" s="2" t="str">
        <f>PROPER(TRIM(Raw_Data!G14))</f>
        <v>Furniture</v>
      </c>
      <c r="H14" s="2">
        <f>Raw_Data!H14</f>
        <v>3</v>
      </c>
      <c r="I14" s="4">
        <f>Raw_Data!I14</f>
        <v>149.99</v>
      </c>
      <c r="J14" s="2" t="str">
        <f>PROPER(TRIM(Raw_Data!J14))</f>
        <v>Cash</v>
      </c>
      <c r="K14" s="2" t="str">
        <f>PROPER(TRIM(Raw_Data!K14))</f>
        <v>North</v>
      </c>
      <c r="L14" s="2" t="str">
        <f>PROPER(TRIM(Raw_Data!L14))</f>
        <v>Premium</v>
      </c>
      <c r="M14" s="3">
        <f>Raw_Data!M14</f>
        <v>44806</v>
      </c>
      <c r="N14" s="4">
        <f>Raw_Data!N14</f>
        <v>449.97</v>
      </c>
    </row>
    <row r="15" spans="1:14" ht="15" customHeight="1" x14ac:dyDescent="0.35">
      <c r="A15" s="2" t="str">
        <f>UPPER(TRIM(Raw_Data!A15))</f>
        <v>TRX0067</v>
      </c>
      <c r="B15" s="3">
        <f>Raw_Data!B15</f>
        <v>45409</v>
      </c>
      <c r="C15" s="2" t="str">
        <f>UPPER(TRIM(Raw_Data!C15))</f>
        <v>CUST043</v>
      </c>
      <c r="D15" s="2" t="str">
        <f>PROPER(TRIM(Raw_Data!D15))</f>
        <v>Dennis Gray</v>
      </c>
      <c r="E15" s="2" t="str">
        <f>UPPER(TRIM(Raw_Data!E15))</f>
        <v>P005</v>
      </c>
      <c r="F15" s="2" t="str">
        <f>PROPER(TRIM(Raw_Data!F15))</f>
        <v>Blender</v>
      </c>
      <c r="G15" s="2" t="str">
        <f>PROPER(TRIM(Raw_Data!G15))</f>
        <v>Appliances</v>
      </c>
      <c r="H15" s="2">
        <f>Raw_Data!H15</f>
        <v>3</v>
      </c>
      <c r="I15" s="4">
        <f>Raw_Data!I15</f>
        <v>59.99</v>
      </c>
      <c r="J15" s="2" t="str">
        <f>PROPER(TRIM(Raw_Data!J15))</f>
        <v>Credit Card</v>
      </c>
      <c r="K15" s="2" t="str">
        <f>PROPER(TRIM(Raw_Data!K15))</f>
        <v>North</v>
      </c>
      <c r="L15" s="2" t="str">
        <f>PROPER(TRIM(Raw_Data!L15))</f>
        <v>Standard</v>
      </c>
      <c r="M15" s="3">
        <f>Raw_Data!M15</f>
        <v>45351</v>
      </c>
      <c r="N15" s="4">
        <f>Raw_Data!N15</f>
        <v>179.97</v>
      </c>
    </row>
    <row r="16" spans="1:14" ht="15" customHeight="1" x14ac:dyDescent="0.35">
      <c r="A16" s="2" t="str">
        <f>UPPER(TRIM(Raw_Data!A16))</f>
        <v>TRX0191</v>
      </c>
      <c r="B16" s="3">
        <f>Raw_Data!B16</f>
        <v>45409</v>
      </c>
      <c r="C16" s="2" t="str">
        <f>UPPER(TRIM(Raw_Data!C16))</f>
        <v>CUST038</v>
      </c>
      <c r="D16" s="2" t="str">
        <f>PROPER(TRIM(Raw_Data!D16))</f>
        <v>Michelle Rogers</v>
      </c>
      <c r="E16" s="2" t="str">
        <f>UPPER(TRIM(Raw_Data!E16))</f>
        <v>P002</v>
      </c>
      <c r="F16" s="2" t="str">
        <f>PROPER(TRIM(Raw_Data!F16))</f>
        <v>Smartphone</v>
      </c>
      <c r="G16" s="2" t="str">
        <f>PROPER(TRIM(Raw_Data!G16))</f>
        <v>Electronics</v>
      </c>
      <c r="H16" s="2">
        <f>Raw_Data!H16</f>
        <v>3</v>
      </c>
      <c r="I16" s="4">
        <f>Raw_Data!I16</f>
        <v>699.99</v>
      </c>
      <c r="J16" s="2" t="str">
        <f>PROPER(TRIM(Raw_Data!J16))</f>
        <v>Credit Card</v>
      </c>
      <c r="K16" s="2" t="str">
        <f>PROPER(TRIM(Raw_Data!K16))</f>
        <v>West</v>
      </c>
      <c r="L16" s="2" t="str">
        <f>PROPER(TRIM(Raw_Data!L16))</f>
        <v>Basic</v>
      </c>
      <c r="M16" s="3">
        <f>Raw_Data!M16</f>
        <v>44577</v>
      </c>
      <c r="N16" s="4">
        <f>Raw_Data!N16</f>
        <v>2099.9699999999998</v>
      </c>
    </row>
    <row r="17" spans="1:14" ht="15" customHeight="1" x14ac:dyDescent="0.35">
      <c r="A17" s="2" t="str">
        <f>UPPER(TRIM(Raw_Data!A17))</f>
        <v>TRX0230</v>
      </c>
      <c r="B17" s="3">
        <f>Raw_Data!B17</f>
        <v>45409</v>
      </c>
      <c r="C17" s="2" t="str">
        <f>UPPER(TRIM(Raw_Data!C17))</f>
        <v>CUST027</v>
      </c>
      <c r="D17" s="2" t="str">
        <f>PROPER(TRIM(Raw_Data!D17))</f>
        <v>George Adams</v>
      </c>
      <c r="E17" s="2" t="str">
        <f>UPPER(TRIM(Raw_Data!E17))</f>
        <v>P001</v>
      </c>
      <c r="F17" s="2" t="str">
        <f>PROPER(TRIM(Raw_Data!F17))</f>
        <v>Laptop</v>
      </c>
      <c r="G17" s="2" t="str">
        <f>PROPER(TRIM(Raw_Data!G17))</f>
        <v>Electronics</v>
      </c>
      <c r="H17" s="2">
        <f>Raw_Data!H17</f>
        <v>1</v>
      </c>
      <c r="I17" s="4">
        <f>Raw_Data!I17</f>
        <v>899.99</v>
      </c>
      <c r="J17" s="2" t="str">
        <f>PROPER(TRIM(Raw_Data!J17))</f>
        <v>Debit Card</v>
      </c>
      <c r="K17" s="2" t="str">
        <f>PROPER(TRIM(Raw_Data!K17))</f>
        <v>North</v>
      </c>
      <c r="L17" s="2" t="str">
        <f>PROPER(TRIM(Raw_Data!L17))</f>
        <v>Standard</v>
      </c>
      <c r="M17" s="3">
        <f>Raw_Data!M17</f>
        <v>44920</v>
      </c>
      <c r="N17" s="4">
        <f>Raw_Data!N17</f>
        <v>899.99</v>
      </c>
    </row>
    <row r="18" spans="1:14" ht="15" customHeight="1" x14ac:dyDescent="0.35">
      <c r="A18" s="2" t="str">
        <f>UPPER(TRIM(Raw_Data!A18))</f>
        <v>TRX0049</v>
      </c>
      <c r="B18" s="3">
        <f>Raw_Data!B18</f>
        <v>45410</v>
      </c>
      <c r="C18" s="2" t="str">
        <f>UPPER(TRIM(Raw_Data!C18))</f>
        <v>CUST025</v>
      </c>
      <c r="D18" s="2" t="str">
        <f>PROPER(TRIM(Raw_Data!D18))</f>
        <v>Mark Carter</v>
      </c>
      <c r="E18" s="2" t="str">
        <f>UPPER(TRIM(Raw_Data!E18))</f>
        <v>P008</v>
      </c>
      <c r="F18" s="2" t="str">
        <f>PROPER(TRIM(Raw_Data!F18))</f>
        <v>Bookshelf</v>
      </c>
      <c r="G18" s="2" t="str">
        <f>PROPER(TRIM(Raw_Data!G18))</f>
        <v>Furniture</v>
      </c>
      <c r="H18" s="2">
        <f>Raw_Data!H18</f>
        <v>4</v>
      </c>
      <c r="I18" s="4">
        <f>Raw_Data!I18</f>
        <v>149.99</v>
      </c>
      <c r="J18" s="2" t="str">
        <f>PROPER(TRIM(Raw_Data!J18))</f>
        <v>Debit Card</v>
      </c>
      <c r="K18" s="2" t="str">
        <f>PROPER(TRIM(Raw_Data!K18))</f>
        <v>North</v>
      </c>
      <c r="L18" s="2" t="str">
        <f>PROPER(TRIM(Raw_Data!L18))</f>
        <v>Premium</v>
      </c>
      <c r="M18" s="3">
        <f>Raw_Data!M18</f>
        <v>45374</v>
      </c>
      <c r="N18" s="4">
        <f>Raw_Data!N18</f>
        <v>599.96</v>
      </c>
    </row>
    <row r="19" spans="1:14" ht="15" customHeight="1" x14ac:dyDescent="0.35">
      <c r="A19" s="2" t="str">
        <f>UPPER(TRIM(Raw_Data!A19))</f>
        <v>TRX0134</v>
      </c>
      <c r="B19" s="3">
        <f>Raw_Data!B19</f>
        <v>45410</v>
      </c>
      <c r="C19" s="2" t="str">
        <f>UPPER(TRIM(Raw_Data!C19))</f>
        <v>CUST010</v>
      </c>
      <c r="D19" s="2" t="str">
        <f>PROPER(TRIM(Raw_Data!D19))</f>
        <v>Maria Garcia</v>
      </c>
      <c r="E19" s="2" t="str">
        <f>UPPER(TRIM(Raw_Data!E19))</f>
        <v>P002</v>
      </c>
      <c r="F19" s="2" t="str">
        <f>PROPER(TRIM(Raw_Data!F19))</f>
        <v>Smartphone</v>
      </c>
      <c r="G19" s="2" t="str">
        <f>PROPER(TRIM(Raw_Data!G19))</f>
        <v>Electronics</v>
      </c>
      <c r="H19" s="2">
        <f>Raw_Data!H19</f>
        <v>2</v>
      </c>
      <c r="I19" s="4">
        <f>Raw_Data!I19</f>
        <v>699.99</v>
      </c>
      <c r="J19" s="2" t="str">
        <f>PROPER(TRIM(Raw_Data!J19))</f>
        <v>Cash</v>
      </c>
      <c r="K19" s="2" t="str">
        <f>PROPER(TRIM(Raw_Data!K19))</f>
        <v>North</v>
      </c>
      <c r="L19" s="2" t="str">
        <f>PROPER(TRIM(Raw_Data!L19))</f>
        <v>Basic</v>
      </c>
      <c r="M19" s="3">
        <f>Raw_Data!M19</f>
        <v>44781</v>
      </c>
      <c r="N19" s="4">
        <f>Raw_Data!N19</f>
        <v>1399.98</v>
      </c>
    </row>
    <row r="20" spans="1:14" ht="15" customHeight="1" x14ac:dyDescent="0.35">
      <c r="A20" s="2" t="str">
        <f>UPPER(TRIM(Raw_Data!A20))</f>
        <v>TRX0122</v>
      </c>
      <c r="B20" s="3">
        <f>Raw_Data!B20</f>
        <v>45410</v>
      </c>
      <c r="C20" s="2" t="str">
        <f>UPPER(TRIM(Raw_Data!C20))</f>
        <v>CUST025</v>
      </c>
      <c r="D20" s="2" t="str">
        <f>PROPER(TRIM(Raw_Data!D20))</f>
        <v>Mark Carter</v>
      </c>
      <c r="E20" s="2" t="str">
        <f>UPPER(TRIM(Raw_Data!E20))</f>
        <v>P001</v>
      </c>
      <c r="F20" s="2" t="str">
        <f>PROPER(TRIM(Raw_Data!F20))</f>
        <v>Laptop</v>
      </c>
      <c r="G20" s="2" t="str">
        <f>PROPER(TRIM(Raw_Data!G20))</f>
        <v>Electronics</v>
      </c>
      <c r="H20" s="2">
        <f>Raw_Data!H20</f>
        <v>4</v>
      </c>
      <c r="I20" s="4">
        <f>Raw_Data!I20</f>
        <v>899.99</v>
      </c>
      <c r="J20" s="2" t="str">
        <f>PROPER(TRIM(Raw_Data!J20))</f>
        <v>Credit Card</v>
      </c>
      <c r="K20" s="2" t="str">
        <f>PROPER(TRIM(Raw_Data!K20))</f>
        <v>West</v>
      </c>
      <c r="L20" s="2" t="str">
        <f>PROPER(TRIM(Raw_Data!L20))</f>
        <v>Standard</v>
      </c>
      <c r="M20" s="3">
        <f>Raw_Data!M20</f>
        <v>45327</v>
      </c>
      <c r="N20" s="4">
        <f>Raw_Data!N20</f>
        <v>3599.96</v>
      </c>
    </row>
    <row r="21" spans="1:14" ht="15" customHeight="1" x14ac:dyDescent="0.35">
      <c r="A21" s="2" t="str">
        <f>UPPER(TRIM(Raw_Data!A21))</f>
        <v>TRX0222</v>
      </c>
      <c r="B21" s="3">
        <f>Raw_Data!B21</f>
        <v>45410</v>
      </c>
      <c r="C21" s="2" t="str">
        <f>UPPER(TRIM(Raw_Data!C21))</f>
        <v>CUST048</v>
      </c>
      <c r="D21" s="2" t="str">
        <f>PROPER(TRIM(Raw_Data!D21))</f>
        <v>Virginia Sanders</v>
      </c>
      <c r="E21" s="2" t="str">
        <f>UPPER(TRIM(Raw_Data!E21))</f>
        <v>P009</v>
      </c>
      <c r="F21" s="2" t="str">
        <f>PROPER(TRIM(Raw_Data!F21))</f>
        <v>Monitor</v>
      </c>
      <c r="G21" s="2" t="str">
        <f>PROPER(TRIM(Raw_Data!G21))</f>
        <v>Electronics</v>
      </c>
      <c r="H21" s="2">
        <f>Raw_Data!H21</f>
        <v>3</v>
      </c>
      <c r="I21" s="4">
        <f>Raw_Data!I21</f>
        <v>249.99</v>
      </c>
      <c r="J21" s="2" t="str">
        <f>PROPER(TRIM(Raw_Data!J21))</f>
        <v>Credit Card</v>
      </c>
      <c r="K21" s="2" t="str">
        <f>PROPER(TRIM(Raw_Data!K21))</f>
        <v>North</v>
      </c>
      <c r="L21" s="2" t="str">
        <f>PROPER(TRIM(Raw_Data!L21))</f>
        <v>Premium</v>
      </c>
      <c r="M21" s="3">
        <f>Raw_Data!M21</f>
        <v>45224</v>
      </c>
      <c r="N21" s="4">
        <f>Raw_Data!N21</f>
        <v>749.97</v>
      </c>
    </row>
    <row r="22" spans="1:14" ht="15" customHeight="1" x14ac:dyDescent="0.35">
      <c r="A22" s="2" t="str">
        <f>UPPER(TRIM(Raw_Data!A22))</f>
        <v>TRX0231</v>
      </c>
      <c r="B22" s="3">
        <f>Raw_Data!B22</f>
        <v>45412</v>
      </c>
      <c r="C22" s="2" t="str">
        <f>UPPER(TRIM(Raw_Data!C22))</f>
        <v>CUST018</v>
      </c>
      <c r="D22" s="2" t="str">
        <f>PROPER(TRIM(Raw_Data!D22))</f>
        <v>Barbara Young</v>
      </c>
      <c r="E22" s="2" t="str">
        <f>UPPER(TRIM(Raw_Data!E22))</f>
        <v>P002</v>
      </c>
      <c r="F22" s="2" t="str">
        <f>PROPER(TRIM(Raw_Data!F22))</f>
        <v>Smartphone</v>
      </c>
      <c r="G22" s="2" t="str">
        <f>PROPER(TRIM(Raw_Data!G22))</f>
        <v>Electronics</v>
      </c>
      <c r="H22" s="2">
        <f>Raw_Data!H22</f>
        <v>5</v>
      </c>
      <c r="I22" s="4">
        <f>Raw_Data!I22</f>
        <v>699.99</v>
      </c>
      <c r="J22" s="2" t="str">
        <f>PROPER(TRIM(Raw_Data!J22))</f>
        <v>Cash</v>
      </c>
      <c r="K22" s="2" t="str">
        <f>PROPER(TRIM(Raw_Data!K22))</f>
        <v>West</v>
      </c>
      <c r="L22" s="2" t="str">
        <f>PROPER(TRIM(Raw_Data!L22))</f>
        <v>Basic</v>
      </c>
      <c r="M22" s="3">
        <f>Raw_Data!M22</f>
        <v>45167</v>
      </c>
      <c r="N22" s="4">
        <f>Raw_Data!N22</f>
        <v>3499.95</v>
      </c>
    </row>
    <row r="23" spans="1:14" ht="15" customHeight="1" x14ac:dyDescent="0.35">
      <c r="A23" s="2" t="str">
        <f>UPPER(TRIM(Raw_Data!A23))</f>
        <v>TRX0239</v>
      </c>
      <c r="B23" s="3">
        <f>Raw_Data!B23</f>
        <v>45413</v>
      </c>
      <c r="C23" s="2" t="str">
        <f>UPPER(TRIM(Raw_Data!C23))</f>
        <v>CUST012</v>
      </c>
      <c r="D23" s="2" t="str">
        <f>PROPER(TRIM(Raw_Data!D23))</f>
        <v>Patricia Moore</v>
      </c>
      <c r="E23" s="2" t="str">
        <f>UPPER(TRIM(Raw_Data!E23))</f>
        <v>P002</v>
      </c>
      <c r="F23" s="2" t="str">
        <f>PROPER(TRIM(Raw_Data!F23))</f>
        <v>Smartphone</v>
      </c>
      <c r="G23" s="2" t="str">
        <f>PROPER(TRIM(Raw_Data!G23))</f>
        <v>Electronics</v>
      </c>
      <c r="H23" s="2">
        <f>Raw_Data!H23</f>
        <v>4</v>
      </c>
      <c r="I23" s="4">
        <f>Raw_Data!I23</f>
        <v>699.99</v>
      </c>
      <c r="J23" s="2" t="str">
        <f>PROPER(TRIM(Raw_Data!J23))</f>
        <v>Cash</v>
      </c>
      <c r="K23" s="2" t="str">
        <f>PROPER(TRIM(Raw_Data!K23))</f>
        <v>East</v>
      </c>
      <c r="L23" s="2" t="str">
        <f>PROPER(TRIM(Raw_Data!L23))</f>
        <v>Standard</v>
      </c>
      <c r="M23" s="3">
        <f>Raw_Data!M23</f>
        <v>44409</v>
      </c>
      <c r="N23" s="4">
        <f>Raw_Data!N23</f>
        <v>2799.96</v>
      </c>
    </row>
    <row r="24" spans="1:14" ht="15" customHeight="1" x14ac:dyDescent="0.35">
      <c r="A24" s="2" t="str">
        <f>UPPER(TRIM(Raw_Data!A24))</f>
        <v>TRX0204</v>
      </c>
      <c r="B24" s="3">
        <f>Raw_Data!B24</f>
        <v>45415</v>
      </c>
      <c r="C24" s="2" t="str">
        <f>UPPER(TRIM(Raw_Data!C24))</f>
        <v>CUST044</v>
      </c>
      <c r="D24" s="2" t="str">
        <f>PROPER(TRIM(Raw_Data!D24))</f>
        <v>Cynthia Price</v>
      </c>
      <c r="E24" s="2" t="str">
        <f>UPPER(TRIM(Raw_Data!E24))</f>
        <v>P009</v>
      </c>
      <c r="F24" s="2" t="str">
        <f>PROPER(TRIM(Raw_Data!F24))</f>
        <v>Monitor</v>
      </c>
      <c r="G24" s="2" t="str">
        <f>PROPER(TRIM(Raw_Data!G24))</f>
        <v>Electronics</v>
      </c>
      <c r="H24" s="2">
        <f>Raw_Data!H24</f>
        <v>4</v>
      </c>
      <c r="I24" s="4">
        <f>Raw_Data!I24</f>
        <v>249.99</v>
      </c>
      <c r="J24" s="2" t="str">
        <f>PROPER(TRIM(Raw_Data!J24))</f>
        <v>Paypal</v>
      </c>
      <c r="K24" s="2" t="str">
        <f>PROPER(TRIM(Raw_Data!K24))</f>
        <v>North</v>
      </c>
      <c r="L24" s="2" t="str">
        <f>PROPER(TRIM(Raw_Data!L24))</f>
        <v>Standard</v>
      </c>
      <c r="M24" s="3">
        <f>Raw_Data!M24</f>
        <v>44468</v>
      </c>
      <c r="N24" s="4">
        <f>Raw_Data!N24</f>
        <v>999.96</v>
      </c>
    </row>
    <row r="25" spans="1:14" ht="15" customHeight="1" x14ac:dyDescent="0.35">
      <c r="A25" s="2" t="str">
        <f>UPPER(TRIM(Raw_Data!A25))</f>
        <v>TRX0242</v>
      </c>
      <c r="B25" s="3">
        <f>Raw_Data!B25</f>
        <v>45416</v>
      </c>
      <c r="C25" s="2" t="str">
        <f>UPPER(TRIM(Raw_Data!C25))</f>
        <v>CUST025</v>
      </c>
      <c r="D25" s="2" t="str">
        <f>PROPER(TRIM(Raw_Data!D25))</f>
        <v>Mark Carter</v>
      </c>
      <c r="E25" s="2" t="str">
        <f>UPPER(TRIM(Raw_Data!E25))</f>
        <v>P007</v>
      </c>
      <c r="F25" s="2" t="str">
        <f>PROPER(TRIM(Raw_Data!F25))</f>
        <v>Desk</v>
      </c>
      <c r="G25" s="2" t="str">
        <f>PROPER(TRIM(Raw_Data!G25))</f>
        <v>Furniture</v>
      </c>
      <c r="H25" s="2">
        <f>Raw_Data!H25</f>
        <v>4</v>
      </c>
      <c r="I25" s="4">
        <f>Raw_Data!I25</f>
        <v>299.99</v>
      </c>
      <c r="J25" s="2" t="str">
        <f>PROPER(TRIM(Raw_Data!J25))</f>
        <v>Cash</v>
      </c>
      <c r="K25" s="2" t="str">
        <f>PROPER(TRIM(Raw_Data!K25))</f>
        <v>West</v>
      </c>
      <c r="L25" s="2" t="str">
        <f>PROPER(TRIM(Raw_Data!L25))</f>
        <v>Premium</v>
      </c>
      <c r="M25" s="3">
        <f>Raw_Data!M25</f>
        <v>44716</v>
      </c>
      <c r="N25" s="4">
        <f>Raw_Data!N25</f>
        <v>1199.96</v>
      </c>
    </row>
    <row r="26" spans="1:14" ht="15" customHeight="1" x14ac:dyDescent="0.35">
      <c r="A26" s="2" t="str">
        <f>UPPER(TRIM(Raw_Data!A26))</f>
        <v>TRX0071</v>
      </c>
      <c r="B26" s="3">
        <f>Raw_Data!B26</f>
        <v>45422</v>
      </c>
      <c r="C26" s="2" t="str">
        <f>UPPER(TRIM(Raw_Data!C26))</f>
        <v>CUST036</v>
      </c>
      <c r="D26" s="2" t="str">
        <f>PROPER(TRIM(Raw_Data!D26))</f>
        <v>Nancy Collins</v>
      </c>
      <c r="E26" s="2" t="str">
        <f>UPPER(TRIM(Raw_Data!E26))</f>
        <v>P009</v>
      </c>
      <c r="F26" s="2" t="str">
        <f>PROPER(TRIM(Raw_Data!F26))</f>
        <v>Monitor</v>
      </c>
      <c r="G26" s="2" t="str">
        <f>PROPER(TRIM(Raw_Data!G26))</f>
        <v>Electronics</v>
      </c>
      <c r="H26" s="2">
        <f>Raw_Data!H26</f>
        <v>5</v>
      </c>
      <c r="I26" s="4">
        <f>Raw_Data!I26</f>
        <v>249.99</v>
      </c>
      <c r="J26" s="2" t="str">
        <f>PROPER(TRIM(Raw_Data!J26))</f>
        <v>Credit Card</v>
      </c>
      <c r="K26" s="2" t="str">
        <f>PROPER(TRIM(Raw_Data!K26))</f>
        <v>West</v>
      </c>
      <c r="L26" s="2" t="str">
        <f>PROPER(TRIM(Raw_Data!L26))</f>
        <v>Standard</v>
      </c>
      <c r="M26" s="3">
        <f>Raw_Data!M26</f>
        <v>44525</v>
      </c>
      <c r="N26" s="4">
        <f>Raw_Data!N26</f>
        <v>1249.95</v>
      </c>
    </row>
    <row r="27" spans="1:14" ht="15" customHeight="1" x14ac:dyDescent="0.35">
      <c r="A27" s="2" t="str">
        <f>UPPER(TRIM(Raw_Data!A27))</f>
        <v>TRX0040</v>
      </c>
      <c r="B27" s="3">
        <f>Raw_Data!B27</f>
        <v>45424</v>
      </c>
      <c r="C27" s="2" t="str">
        <f>UPPER(TRIM(Raw_Data!C27))</f>
        <v>CUST022</v>
      </c>
      <c r="D27" s="2" t="str">
        <f>PROPER(TRIM(Raw_Data!D27))</f>
        <v>Susan Green</v>
      </c>
      <c r="E27" s="2" t="str">
        <f>UPPER(TRIM(Raw_Data!E27))</f>
        <v>P007</v>
      </c>
      <c r="F27" s="2" t="str">
        <f>PROPER(TRIM(Raw_Data!F27))</f>
        <v>Desk</v>
      </c>
      <c r="G27" s="2" t="str">
        <f>PROPER(TRIM(Raw_Data!G27))</f>
        <v>Furniture</v>
      </c>
      <c r="H27" s="2">
        <f>Raw_Data!H27</f>
        <v>5</v>
      </c>
      <c r="I27" s="4">
        <f>Raw_Data!I27</f>
        <v>299.99</v>
      </c>
      <c r="J27" s="2" t="str">
        <f>PROPER(TRIM(Raw_Data!J27))</f>
        <v>Paypal</v>
      </c>
      <c r="K27" s="2" t="str">
        <f>PROPER(TRIM(Raw_Data!K27))</f>
        <v>East</v>
      </c>
      <c r="L27" s="2" t="str">
        <f>PROPER(TRIM(Raw_Data!L27))</f>
        <v>Basic</v>
      </c>
      <c r="M27" s="3">
        <f>Raw_Data!M27</f>
        <v>45168</v>
      </c>
      <c r="N27" s="4">
        <f>Raw_Data!N27</f>
        <v>1499.95</v>
      </c>
    </row>
    <row r="28" spans="1:14" ht="15" customHeight="1" x14ac:dyDescent="0.35">
      <c r="A28" s="2" t="str">
        <f>UPPER(TRIM(Raw_Data!A28))</f>
        <v>TRX0235</v>
      </c>
      <c r="B28" s="3">
        <f>Raw_Data!B28</f>
        <v>45424</v>
      </c>
      <c r="C28" s="2" t="str">
        <f>UPPER(TRIM(Raw_Data!C28))</f>
        <v>CUST014</v>
      </c>
      <c r="D28" s="2" t="str">
        <f>PROPER(TRIM(Raw_Data!D28))</f>
        <v>Linda Martin</v>
      </c>
      <c r="E28" s="2" t="str">
        <f>UPPER(TRIM(Raw_Data!E28))</f>
        <v>P004</v>
      </c>
      <c r="F28" s="2" t="str">
        <f>PROPER(TRIM(Raw_Data!F28))</f>
        <v>Coffee Maker</v>
      </c>
      <c r="G28" s="2" t="str">
        <f>PROPER(TRIM(Raw_Data!G28))</f>
        <v>Appliances</v>
      </c>
      <c r="H28" s="2">
        <f>Raw_Data!H28</f>
        <v>3</v>
      </c>
      <c r="I28" s="4">
        <f>Raw_Data!I28</f>
        <v>79.989999999999995</v>
      </c>
      <c r="J28" s="2" t="str">
        <f>PROPER(TRIM(Raw_Data!J28))</f>
        <v>Paypal</v>
      </c>
      <c r="K28" s="2" t="str">
        <f>PROPER(TRIM(Raw_Data!K28))</f>
        <v>East</v>
      </c>
      <c r="L28" s="2" t="str">
        <f>PROPER(TRIM(Raw_Data!L28))</f>
        <v>Premium</v>
      </c>
      <c r="M28" s="3">
        <f>Raw_Data!M28</f>
        <v>45012</v>
      </c>
      <c r="N28" s="4">
        <f>Raw_Data!N28</f>
        <v>239.97</v>
      </c>
    </row>
    <row r="29" spans="1:14" ht="15" customHeight="1" x14ac:dyDescent="0.35">
      <c r="A29" s="2" t="str">
        <f>UPPER(TRIM(Raw_Data!A29))</f>
        <v>TRX0004</v>
      </c>
      <c r="B29" s="3">
        <f>Raw_Data!B29</f>
        <v>45424</v>
      </c>
      <c r="C29" s="2" t="str">
        <f>UPPER(TRIM(Raw_Data!C29))</f>
        <v>CUST012</v>
      </c>
      <c r="D29" s="2" t="str">
        <f>PROPER(TRIM(Raw_Data!D29))</f>
        <v>Patricia Moore</v>
      </c>
      <c r="E29" s="2" t="str">
        <f>UPPER(TRIM(Raw_Data!E29))</f>
        <v>P010</v>
      </c>
      <c r="F29" s="2" t="str">
        <f>PROPER(TRIM(Raw_Data!F29))</f>
        <v>Keyboard</v>
      </c>
      <c r="G29" s="2" t="str">
        <f>PROPER(TRIM(Raw_Data!G29))</f>
        <v>Electronics</v>
      </c>
      <c r="H29" s="2">
        <f>Raw_Data!H29</f>
        <v>5</v>
      </c>
      <c r="I29" s="4">
        <f>Raw_Data!I29</f>
        <v>89.99</v>
      </c>
      <c r="J29" s="2" t="str">
        <f>PROPER(TRIM(Raw_Data!J29))</f>
        <v>Cash</v>
      </c>
      <c r="K29" s="2" t="str">
        <f>PROPER(TRIM(Raw_Data!K29))</f>
        <v>North</v>
      </c>
      <c r="L29" s="2" t="str">
        <f>PROPER(TRIM(Raw_Data!L29))</f>
        <v>Premium</v>
      </c>
      <c r="M29" s="3">
        <f>Raw_Data!M29</f>
        <v>44919</v>
      </c>
      <c r="N29" s="4">
        <f>Raw_Data!N29</f>
        <v>449.95</v>
      </c>
    </row>
    <row r="30" spans="1:14" ht="15" customHeight="1" x14ac:dyDescent="0.35">
      <c r="A30" s="2" t="str">
        <f>UPPER(TRIM(Raw_Data!A30))</f>
        <v>TRX0063</v>
      </c>
      <c r="B30" s="3">
        <f>Raw_Data!B30</f>
        <v>45425</v>
      </c>
      <c r="C30" s="2" t="str">
        <f>UPPER(TRIM(Raw_Data!C30))</f>
        <v>CUST030</v>
      </c>
      <c r="D30" s="2" t="str">
        <f>PROPER(TRIM(Raw_Data!D30))</f>
        <v>Helen Roberts</v>
      </c>
      <c r="E30" s="2" t="str">
        <f>UPPER(TRIM(Raw_Data!E30))</f>
        <v>P005</v>
      </c>
      <c r="F30" s="2" t="str">
        <f>PROPER(TRIM(Raw_Data!F30))</f>
        <v>Blender</v>
      </c>
      <c r="G30" s="2" t="str">
        <f>PROPER(TRIM(Raw_Data!G30))</f>
        <v>Appliances</v>
      </c>
      <c r="H30" s="2">
        <f>Raw_Data!H30</f>
        <v>2</v>
      </c>
      <c r="I30" s="4">
        <f>Raw_Data!I30</f>
        <v>59.99</v>
      </c>
      <c r="J30" s="2" t="str">
        <f>PROPER(TRIM(Raw_Data!J30))</f>
        <v>Debit Card</v>
      </c>
      <c r="K30" s="2" t="str">
        <f>PROPER(TRIM(Raw_Data!K30))</f>
        <v>Central</v>
      </c>
      <c r="L30" s="2" t="str">
        <f>PROPER(TRIM(Raw_Data!L30))</f>
        <v>Standard</v>
      </c>
      <c r="M30" s="3">
        <f>Raw_Data!M30</f>
        <v>45214</v>
      </c>
      <c r="N30" s="4">
        <f>Raw_Data!N30</f>
        <v>119.98</v>
      </c>
    </row>
    <row r="31" spans="1:14" ht="15" customHeight="1" x14ac:dyDescent="0.35">
      <c r="A31" s="2" t="str">
        <f>UPPER(TRIM(Raw_Data!A31))</f>
        <v>TRX0241</v>
      </c>
      <c r="B31" s="3">
        <f>Raw_Data!B31</f>
        <v>45427</v>
      </c>
      <c r="C31" s="2" t="str">
        <f>UPPER(TRIM(Raw_Data!C31))</f>
        <v>CUST029</v>
      </c>
      <c r="D31" s="2" t="str">
        <f>PROPER(TRIM(Raw_Data!D31))</f>
        <v>Edward Mitchell</v>
      </c>
      <c r="E31" s="2" t="str">
        <f>UPPER(TRIM(Raw_Data!E31))</f>
        <v>P005</v>
      </c>
      <c r="F31" s="2" t="str">
        <f>PROPER(TRIM(Raw_Data!F31))</f>
        <v>Blender</v>
      </c>
      <c r="G31" s="2" t="str">
        <f>PROPER(TRIM(Raw_Data!G31))</f>
        <v>Appliances</v>
      </c>
      <c r="H31" s="2">
        <f>Raw_Data!H31</f>
        <v>4</v>
      </c>
      <c r="I31" s="4">
        <f>Raw_Data!I31</f>
        <v>59.99</v>
      </c>
      <c r="J31" s="2" t="str">
        <f>PROPER(TRIM(Raw_Data!J31))</f>
        <v>Debit Card</v>
      </c>
      <c r="K31" s="2" t="str">
        <f>PROPER(TRIM(Raw_Data!K31))</f>
        <v>East</v>
      </c>
      <c r="L31" s="2" t="str">
        <f>PROPER(TRIM(Raw_Data!L31))</f>
        <v>Standard</v>
      </c>
      <c r="M31" s="3">
        <f>Raw_Data!M31</f>
        <v>44867</v>
      </c>
      <c r="N31" s="4">
        <f>Raw_Data!N31</f>
        <v>239.96</v>
      </c>
    </row>
    <row r="32" spans="1:14" ht="15" customHeight="1" x14ac:dyDescent="0.35">
      <c r="A32" s="2" t="str">
        <f>UPPER(TRIM(Raw_Data!A32))</f>
        <v>TRX0029</v>
      </c>
      <c r="B32" s="3">
        <f>Raw_Data!B32</f>
        <v>45427</v>
      </c>
      <c r="C32" s="2" t="str">
        <f>UPPER(TRIM(Raw_Data!C32))</f>
        <v>CUST017</v>
      </c>
      <c r="D32" s="2" t="str">
        <f>PROPER(TRIM(Raw_Data!D32))</f>
        <v>Charles Allen</v>
      </c>
      <c r="E32" s="2" t="str">
        <f>UPPER(TRIM(Raw_Data!E32))</f>
        <v>P006</v>
      </c>
      <c r="F32" s="2" t="str">
        <f>PROPER(TRIM(Raw_Data!F32))</f>
        <v>Office Chair</v>
      </c>
      <c r="G32" s="2" t="str">
        <f>PROPER(TRIM(Raw_Data!G32))</f>
        <v>Furniture</v>
      </c>
      <c r="H32" s="2">
        <f>Raw_Data!H32</f>
        <v>5</v>
      </c>
      <c r="I32" s="4">
        <f>Raw_Data!I32</f>
        <v>199.99</v>
      </c>
      <c r="J32" s="2" t="str">
        <f>PROPER(TRIM(Raw_Data!J32))</f>
        <v>Cash</v>
      </c>
      <c r="K32" s="2" t="str">
        <f>PROPER(TRIM(Raw_Data!K32))</f>
        <v>South</v>
      </c>
      <c r="L32" s="2" t="str">
        <f>PROPER(TRIM(Raw_Data!L32))</f>
        <v>Standard</v>
      </c>
      <c r="M32" s="3">
        <f>Raw_Data!M32</f>
        <v>44412</v>
      </c>
      <c r="N32" s="4">
        <f>Raw_Data!N32</f>
        <v>999.95</v>
      </c>
    </row>
    <row r="33" spans="1:14" ht="15" customHeight="1" x14ac:dyDescent="0.35">
      <c r="A33" s="2" t="str">
        <f>UPPER(TRIM(Raw_Data!A33))</f>
        <v>TRX0194</v>
      </c>
      <c r="B33" s="3">
        <f>Raw_Data!B33</f>
        <v>45428</v>
      </c>
      <c r="C33" s="2" t="str">
        <f>UPPER(TRIM(Raw_Data!C33))</f>
        <v>CUST006</v>
      </c>
      <c r="D33" s="2" t="str">
        <f>PROPER(TRIM(Raw_Data!D33))</f>
        <v>Lisa Anderson</v>
      </c>
      <c r="E33" s="2" t="str">
        <f>UPPER(TRIM(Raw_Data!E33))</f>
        <v>P008</v>
      </c>
      <c r="F33" s="2" t="str">
        <f>PROPER(TRIM(Raw_Data!F33))</f>
        <v>Bookshelf</v>
      </c>
      <c r="G33" s="2" t="str">
        <f>PROPER(TRIM(Raw_Data!G33))</f>
        <v>Furniture</v>
      </c>
      <c r="H33" s="2">
        <f>Raw_Data!H33</f>
        <v>2</v>
      </c>
      <c r="I33" s="4">
        <f>Raw_Data!I33</f>
        <v>149.99</v>
      </c>
      <c r="J33" s="2" t="str">
        <f>PROPER(TRIM(Raw_Data!J33))</f>
        <v>Credit Card</v>
      </c>
      <c r="K33" s="2" t="str">
        <f>PROPER(TRIM(Raw_Data!K33))</f>
        <v>West</v>
      </c>
      <c r="L33" s="2" t="str">
        <f>PROPER(TRIM(Raw_Data!L33))</f>
        <v>Basic</v>
      </c>
      <c r="M33" s="3">
        <f>Raw_Data!M33</f>
        <v>44823</v>
      </c>
      <c r="N33" s="4">
        <f>Raw_Data!N33</f>
        <v>299.98</v>
      </c>
    </row>
    <row r="34" spans="1:14" ht="15" customHeight="1" x14ac:dyDescent="0.35">
      <c r="A34" s="2" t="str">
        <f>UPPER(TRIM(Raw_Data!A34))</f>
        <v>TRX0130</v>
      </c>
      <c r="B34" s="3">
        <f>Raw_Data!B34</f>
        <v>45430</v>
      </c>
      <c r="C34" s="2" t="str">
        <f>UPPER(TRIM(Raw_Data!C34))</f>
        <v>CUST002</v>
      </c>
      <c r="D34" s="2" t="str">
        <f>PROPER(TRIM(Raw_Data!D34))</f>
        <v>Emma Wilson</v>
      </c>
      <c r="E34" s="2" t="str">
        <f>UPPER(TRIM(Raw_Data!E34))</f>
        <v>P008</v>
      </c>
      <c r="F34" s="2" t="str">
        <f>PROPER(TRIM(Raw_Data!F34))</f>
        <v>Bookshelf</v>
      </c>
      <c r="G34" s="2" t="str">
        <f>PROPER(TRIM(Raw_Data!G34))</f>
        <v>Furniture</v>
      </c>
      <c r="H34" s="2">
        <f>Raw_Data!H34</f>
        <v>3</v>
      </c>
      <c r="I34" s="4">
        <f>Raw_Data!I34</f>
        <v>149.99</v>
      </c>
      <c r="J34" s="2" t="str">
        <f>PROPER(TRIM(Raw_Data!J34))</f>
        <v>Credit Card</v>
      </c>
      <c r="K34" s="2" t="str">
        <f>PROPER(TRIM(Raw_Data!K34))</f>
        <v>West</v>
      </c>
      <c r="L34" s="2" t="str">
        <f>PROPER(TRIM(Raw_Data!L34))</f>
        <v>Premium</v>
      </c>
      <c r="M34" s="3">
        <f>Raw_Data!M34</f>
        <v>45068</v>
      </c>
      <c r="N34" s="4">
        <f>Raw_Data!N34</f>
        <v>449.97</v>
      </c>
    </row>
    <row r="35" spans="1:14" ht="15" customHeight="1" x14ac:dyDescent="0.35">
      <c r="A35" s="2" t="str">
        <f>UPPER(TRIM(Raw_Data!A35))</f>
        <v>TRX0041</v>
      </c>
      <c r="B35" s="3">
        <f>Raw_Data!B35</f>
        <v>45432</v>
      </c>
      <c r="C35" s="2" t="str">
        <f>UPPER(TRIM(Raw_Data!C35))</f>
        <v>CUST021</v>
      </c>
      <c r="D35" s="2" t="str">
        <f>PROPER(TRIM(Raw_Data!D35))</f>
        <v>Kevin Scott</v>
      </c>
      <c r="E35" s="2" t="str">
        <f>UPPER(TRIM(Raw_Data!E35))</f>
        <v>P001</v>
      </c>
      <c r="F35" s="2" t="str">
        <f>PROPER(TRIM(Raw_Data!F35))</f>
        <v>Laptop</v>
      </c>
      <c r="G35" s="2" t="str">
        <f>PROPER(TRIM(Raw_Data!G35))</f>
        <v>Electronics</v>
      </c>
      <c r="H35" s="2">
        <f>Raw_Data!H35</f>
        <v>1</v>
      </c>
      <c r="I35" s="4">
        <f>Raw_Data!I35</f>
        <v>899.99</v>
      </c>
      <c r="J35" s="2" t="str">
        <f>PROPER(TRIM(Raw_Data!J35))</f>
        <v>Credit Card</v>
      </c>
      <c r="K35" s="2" t="str">
        <f>PROPER(TRIM(Raw_Data!K35))</f>
        <v>West</v>
      </c>
      <c r="L35" s="2" t="str">
        <f>PROPER(TRIM(Raw_Data!L35))</f>
        <v>Premium</v>
      </c>
      <c r="M35" s="3">
        <f>Raw_Data!M35</f>
        <v>44578</v>
      </c>
      <c r="N35" s="4">
        <f>Raw_Data!N35</f>
        <v>899.99</v>
      </c>
    </row>
    <row r="36" spans="1:14" ht="15" customHeight="1" x14ac:dyDescent="0.35">
      <c r="A36" s="2" t="str">
        <f>UPPER(TRIM(Raw_Data!A36))</f>
        <v>TRX0232</v>
      </c>
      <c r="B36" s="3">
        <f>Raw_Data!B36</f>
        <v>45434</v>
      </c>
      <c r="C36" s="2" t="str">
        <f>UPPER(TRIM(Raw_Data!C36))</f>
        <v>CUST012</v>
      </c>
      <c r="D36" s="2" t="str">
        <f>PROPER(TRIM(Raw_Data!D36))</f>
        <v>Patricia Moore</v>
      </c>
      <c r="E36" s="2" t="str">
        <f>UPPER(TRIM(Raw_Data!E36))</f>
        <v>P007</v>
      </c>
      <c r="F36" s="2" t="str">
        <f>PROPER(TRIM(Raw_Data!F36))</f>
        <v>Desk</v>
      </c>
      <c r="G36" s="2" t="str">
        <f>PROPER(TRIM(Raw_Data!G36))</f>
        <v>Furniture</v>
      </c>
      <c r="H36" s="2">
        <f>Raw_Data!H36</f>
        <v>3</v>
      </c>
      <c r="I36" s="4">
        <f>Raw_Data!I36</f>
        <v>299.99</v>
      </c>
      <c r="J36" s="2" t="str">
        <f>PROPER(TRIM(Raw_Data!J36))</f>
        <v>Credit Card</v>
      </c>
      <c r="K36" s="2" t="str">
        <f>PROPER(TRIM(Raw_Data!K36))</f>
        <v>East</v>
      </c>
      <c r="L36" s="2" t="str">
        <f>PROPER(TRIM(Raw_Data!L36))</f>
        <v>Basic</v>
      </c>
      <c r="M36" s="3">
        <f>Raw_Data!M36</f>
        <v>44824</v>
      </c>
      <c r="N36" s="4">
        <f>Raw_Data!N36</f>
        <v>899.97</v>
      </c>
    </row>
    <row r="37" spans="1:14" ht="15" customHeight="1" x14ac:dyDescent="0.35">
      <c r="A37" s="2" t="str">
        <f>UPPER(TRIM(Raw_Data!A37))</f>
        <v>TRX0021</v>
      </c>
      <c r="B37" s="3">
        <f>Raw_Data!B37</f>
        <v>45435</v>
      </c>
      <c r="C37" s="2" t="str">
        <f>UPPER(TRIM(Raw_Data!C37))</f>
        <v>CUST006</v>
      </c>
      <c r="D37" s="2" t="str">
        <f>PROPER(TRIM(Raw_Data!D37))</f>
        <v>Lisa Anderson</v>
      </c>
      <c r="E37" s="2" t="str">
        <f>UPPER(TRIM(Raw_Data!E37))</f>
        <v>P004</v>
      </c>
      <c r="F37" s="2" t="str">
        <f>PROPER(TRIM(Raw_Data!F37))</f>
        <v>Coffee Maker</v>
      </c>
      <c r="G37" s="2" t="str">
        <f>PROPER(TRIM(Raw_Data!G37))</f>
        <v>Appliances</v>
      </c>
      <c r="H37" s="2">
        <f>Raw_Data!H37</f>
        <v>3</v>
      </c>
      <c r="I37" s="4">
        <f>Raw_Data!I37</f>
        <v>79.989999999999995</v>
      </c>
      <c r="J37" s="2" t="str">
        <f>PROPER(TRIM(Raw_Data!J37))</f>
        <v>Cash</v>
      </c>
      <c r="K37" s="2" t="str">
        <f>PROPER(TRIM(Raw_Data!K37))</f>
        <v>South</v>
      </c>
      <c r="L37" s="2" t="str">
        <f>PROPER(TRIM(Raw_Data!L37))</f>
        <v>Basic</v>
      </c>
      <c r="M37" s="3">
        <f>Raw_Data!M37</f>
        <v>45046</v>
      </c>
      <c r="N37" s="4">
        <f>Raw_Data!N37</f>
        <v>239.97</v>
      </c>
    </row>
    <row r="38" spans="1:14" ht="15" customHeight="1" x14ac:dyDescent="0.35">
      <c r="A38" s="2" t="str">
        <f>UPPER(TRIM(Raw_Data!A38))</f>
        <v>TRX0245</v>
      </c>
      <c r="B38" s="3">
        <f>Raw_Data!B38</f>
        <v>45438</v>
      </c>
      <c r="C38" s="2" t="str">
        <f>UPPER(TRIM(Raw_Data!C38))</f>
        <v>CUST031</v>
      </c>
      <c r="D38" s="2" t="str">
        <f>PROPER(TRIM(Raw_Data!D38))</f>
        <v>Steven Turner</v>
      </c>
      <c r="E38" s="2" t="str">
        <f>UPPER(TRIM(Raw_Data!E38))</f>
        <v>P006</v>
      </c>
      <c r="F38" s="2" t="str">
        <f>PROPER(TRIM(Raw_Data!F38))</f>
        <v>Office Chair</v>
      </c>
      <c r="G38" s="2" t="str">
        <f>PROPER(TRIM(Raw_Data!G38))</f>
        <v>Furniture</v>
      </c>
      <c r="H38" s="2">
        <f>Raw_Data!H38</f>
        <v>3</v>
      </c>
      <c r="I38" s="4">
        <f>Raw_Data!I38</f>
        <v>199.99</v>
      </c>
      <c r="J38" s="2" t="str">
        <f>PROPER(TRIM(Raw_Data!J38))</f>
        <v>Credit Card</v>
      </c>
      <c r="K38" s="2" t="str">
        <f>PROPER(TRIM(Raw_Data!K38))</f>
        <v>North</v>
      </c>
      <c r="L38" s="2" t="str">
        <f>PROPER(TRIM(Raw_Data!L38))</f>
        <v>Premium</v>
      </c>
      <c r="M38" s="3">
        <f>Raw_Data!M38</f>
        <v>45292</v>
      </c>
      <c r="N38" s="4">
        <f>Raw_Data!N38</f>
        <v>599.97</v>
      </c>
    </row>
    <row r="39" spans="1:14" ht="15" customHeight="1" x14ac:dyDescent="0.35">
      <c r="A39" s="2" t="str">
        <f>UPPER(TRIM(Raw_Data!A39))</f>
        <v>TRX0015</v>
      </c>
      <c r="B39" s="3">
        <f>Raw_Data!B39</f>
        <v>45440</v>
      </c>
      <c r="C39" s="2" t="str">
        <f>UPPER(TRIM(Raw_Data!C39))</f>
        <v>CUST008</v>
      </c>
      <c r="D39" s="2" t="str">
        <f>PROPER(TRIM(Raw_Data!D39))</f>
        <v>Jennifer Taylor</v>
      </c>
      <c r="E39" s="2" t="str">
        <f>UPPER(TRIM(Raw_Data!E39))</f>
        <v>P002</v>
      </c>
      <c r="F39" s="2" t="str">
        <f>PROPER(TRIM(Raw_Data!F39))</f>
        <v>Smartphone</v>
      </c>
      <c r="G39" s="2" t="str">
        <f>PROPER(TRIM(Raw_Data!G39))</f>
        <v>Electronics</v>
      </c>
      <c r="H39" s="2">
        <f>Raw_Data!H39</f>
        <v>5</v>
      </c>
      <c r="I39" s="4">
        <f>Raw_Data!I39</f>
        <v>699.99</v>
      </c>
      <c r="J39" s="2" t="str">
        <f>PROPER(TRIM(Raw_Data!J39))</f>
        <v>Paypal</v>
      </c>
      <c r="K39" s="2" t="str">
        <f>PROPER(TRIM(Raw_Data!K39))</f>
        <v>West</v>
      </c>
      <c r="L39" s="2" t="str">
        <f>PROPER(TRIM(Raw_Data!L39))</f>
        <v>Standard</v>
      </c>
      <c r="M39" s="3">
        <f>Raw_Data!M39</f>
        <v>44407</v>
      </c>
      <c r="N39" s="4">
        <f>Raw_Data!N39</f>
        <v>3499.95</v>
      </c>
    </row>
    <row r="40" spans="1:14" ht="15" customHeight="1" x14ac:dyDescent="0.35">
      <c r="A40" s="2" t="str">
        <f>UPPER(TRIM(Raw_Data!A40))</f>
        <v>TRX0202</v>
      </c>
      <c r="B40" s="3">
        <f>Raw_Data!B40</f>
        <v>45441</v>
      </c>
      <c r="C40" s="2" t="str">
        <f>UPPER(TRIM(Raw_Data!C40))</f>
        <v>CUST035</v>
      </c>
      <c r="D40" s="2" t="str">
        <f>PROPER(TRIM(Raw_Data!D40))</f>
        <v>Harry Morgan</v>
      </c>
      <c r="E40" s="2" t="str">
        <f>UPPER(TRIM(Raw_Data!E40))</f>
        <v>P010</v>
      </c>
      <c r="F40" s="2" t="str">
        <f>PROPER(TRIM(Raw_Data!F40))</f>
        <v>Keyboard</v>
      </c>
      <c r="G40" s="2" t="str">
        <f>PROPER(TRIM(Raw_Data!G40))</f>
        <v>Electronics</v>
      </c>
      <c r="H40" s="2">
        <f>Raw_Data!H40</f>
        <v>3</v>
      </c>
      <c r="I40" s="4">
        <f>Raw_Data!I40</f>
        <v>89.99</v>
      </c>
      <c r="J40" s="2" t="str">
        <f>PROPER(TRIM(Raw_Data!J40))</f>
        <v>Paypal</v>
      </c>
      <c r="K40" s="2" t="str">
        <f>PROPER(TRIM(Raw_Data!K40))</f>
        <v>Central</v>
      </c>
      <c r="L40" s="2" t="str">
        <f>PROPER(TRIM(Raw_Data!L40))</f>
        <v>Premium</v>
      </c>
      <c r="M40" s="3">
        <f>Raw_Data!M40</f>
        <v>45120</v>
      </c>
      <c r="N40" s="4">
        <f>Raw_Data!N40</f>
        <v>269.97000000000003</v>
      </c>
    </row>
    <row r="41" spans="1:14" ht="15" customHeight="1" x14ac:dyDescent="0.35">
      <c r="A41" s="2" t="str">
        <f>UPPER(TRIM(Raw_Data!A41))</f>
        <v>TRX0042</v>
      </c>
      <c r="B41" s="3">
        <f>Raw_Data!B41</f>
        <v>45443</v>
      </c>
      <c r="C41" s="2" t="str">
        <f>UPPER(TRIM(Raw_Data!C41))</f>
        <v>CUST019</v>
      </c>
      <c r="D41" s="2" t="str">
        <f>PROPER(TRIM(Raw_Data!D41))</f>
        <v>Daniel King</v>
      </c>
      <c r="E41" s="2" t="str">
        <f>UPPER(TRIM(Raw_Data!E41))</f>
        <v>P004</v>
      </c>
      <c r="F41" s="2" t="str">
        <f>PROPER(TRIM(Raw_Data!F41))</f>
        <v>Coffee Maker</v>
      </c>
      <c r="G41" s="2" t="str">
        <f>PROPER(TRIM(Raw_Data!G41))</f>
        <v>Appliances</v>
      </c>
      <c r="H41" s="2">
        <f>Raw_Data!H41</f>
        <v>1</v>
      </c>
      <c r="I41" s="4">
        <f>Raw_Data!I41</f>
        <v>79.989999999999995</v>
      </c>
      <c r="J41" s="2" t="str">
        <f>PROPER(TRIM(Raw_Data!J41))</f>
        <v>Cash</v>
      </c>
      <c r="K41" s="2" t="str">
        <f>PROPER(TRIM(Raw_Data!K41))</f>
        <v>North</v>
      </c>
      <c r="L41" s="2" t="str">
        <f>PROPER(TRIM(Raw_Data!L41))</f>
        <v>Standard</v>
      </c>
      <c r="M41" s="3">
        <f>Raw_Data!M41</f>
        <v>44917</v>
      </c>
      <c r="N41" s="4">
        <f>Raw_Data!N41</f>
        <v>79.989999999999995</v>
      </c>
    </row>
    <row r="42" spans="1:14" ht="15" customHeight="1" x14ac:dyDescent="0.35">
      <c r="A42" s="2" t="str">
        <f>UPPER(TRIM(Raw_Data!A42))</f>
        <v>TRX0128</v>
      </c>
      <c r="B42" s="3">
        <f>Raw_Data!B42</f>
        <v>45444</v>
      </c>
      <c r="C42" s="2" t="str">
        <f>UPPER(TRIM(Raw_Data!C42))</f>
        <v>CUST040</v>
      </c>
      <c r="D42" s="2" t="str">
        <f>PROPER(TRIM(Raw_Data!D42))</f>
        <v>Sharon Butler</v>
      </c>
      <c r="E42" s="2" t="str">
        <f>UPPER(TRIM(Raw_Data!E42))</f>
        <v>P005</v>
      </c>
      <c r="F42" s="2" t="str">
        <f>PROPER(TRIM(Raw_Data!F42))</f>
        <v>Blender</v>
      </c>
      <c r="G42" s="2" t="str">
        <f>PROPER(TRIM(Raw_Data!G42))</f>
        <v>Appliances</v>
      </c>
      <c r="H42" s="2">
        <f>Raw_Data!H42</f>
        <v>2</v>
      </c>
      <c r="I42" s="4">
        <f>Raw_Data!I42</f>
        <v>59.99</v>
      </c>
      <c r="J42" s="2" t="str">
        <f>PROPER(TRIM(Raw_Data!J42))</f>
        <v>Cash</v>
      </c>
      <c r="K42" s="2" t="str">
        <f>PROPER(TRIM(Raw_Data!K42))</f>
        <v>West</v>
      </c>
      <c r="L42" s="2" t="str">
        <f>PROPER(TRIM(Raw_Data!L42))</f>
        <v>Basic</v>
      </c>
      <c r="M42" s="3">
        <f>Raw_Data!M42</f>
        <v>45390</v>
      </c>
      <c r="N42" s="4">
        <f>Raw_Data!N42</f>
        <v>119.98</v>
      </c>
    </row>
    <row r="43" spans="1:14" ht="15" customHeight="1" x14ac:dyDescent="0.35">
      <c r="A43" s="2" t="str">
        <f>UPPER(TRIM(Raw_Data!A43))</f>
        <v>TRX0117</v>
      </c>
      <c r="B43" s="3">
        <f>Raw_Data!B43</f>
        <v>45444</v>
      </c>
      <c r="C43" s="2" t="str">
        <f>UPPER(TRIM(Raw_Data!C43))</f>
        <v>CUST017</v>
      </c>
      <c r="D43" s="2" t="str">
        <f>PROPER(TRIM(Raw_Data!D43))</f>
        <v>Charles Allen</v>
      </c>
      <c r="E43" s="2" t="str">
        <f>UPPER(TRIM(Raw_Data!E43))</f>
        <v>P010</v>
      </c>
      <c r="F43" s="2" t="str">
        <f>PROPER(TRIM(Raw_Data!F43))</f>
        <v>Keyboard</v>
      </c>
      <c r="G43" s="2" t="str">
        <f>PROPER(TRIM(Raw_Data!G43))</f>
        <v>Electronics</v>
      </c>
      <c r="H43" s="2">
        <f>Raw_Data!H43</f>
        <v>1</v>
      </c>
      <c r="I43" s="4">
        <f>Raw_Data!I43</f>
        <v>89.99</v>
      </c>
      <c r="J43" s="2" t="str">
        <f>PROPER(TRIM(Raw_Data!J43))</f>
        <v>Cash</v>
      </c>
      <c r="K43" s="2" t="str">
        <f>PROPER(TRIM(Raw_Data!K43))</f>
        <v>North</v>
      </c>
      <c r="L43" s="2" t="str">
        <f>PROPER(TRIM(Raw_Data!L43))</f>
        <v>Basic</v>
      </c>
      <c r="M43" s="3">
        <f>Raw_Data!M43</f>
        <v>45141</v>
      </c>
      <c r="N43" s="4">
        <f>Raw_Data!N43</f>
        <v>89.99</v>
      </c>
    </row>
    <row r="44" spans="1:14" ht="15" customHeight="1" x14ac:dyDescent="0.35">
      <c r="A44" s="2" t="str">
        <f>UPPER(TRIM(Raw_Data!A44))</f>
        <v>TRX0208</v>
      </c>
      <c r="B44" s="3">
        <f>Raw_Data!B44</f>
        <v>45446</v>
      </c>
      <c r="C44" s="2" t="str">
        <f>UPPER(TRIM(Raw_Data!C44))</f>
        <v>CUST004</v>
      </c>
      <c r="D44" s="2" t="str">
        <f>PROPER(TRIM(Raw_Data!D44))</f>
        <v>Sarah Davis</v>
      </c>
      <c r="E44" s="2" t="str">
        <f>UPPER(TRIM(Raw_Data!E44))</f>
        <v>P010</v>
      </c>
      <c r="F44" s="2" t="str">
        <f>PROPER(TRIM(Raw_Data!F44))</f>
        <v>Keyboard</v>
      </c>
      <c r="G44" s="2" t="str">
        <f>PROPER(TRIM(Raw_Data!G44))</f>
        <v>Electronics</v>
      </c>
      <c r="H44" s="2">
        <f>Raw_Data!H44</f>
        <v>5</v>
      </c>
      <c r="I44" s="4">
        <f>Raw_Data!I44</f>
        <v>89.99</v>
      </c>
      <c r="J44" s="2" t="str">
        <f>PROPER(TRIM(Raw_Data!J44))</f>
        <v>Credit Card</v>
      </c>
      <c r="K44" s="2" t="str">
        <f>PROPER(TRIM(Raw_Data!K44))</f>
        <v>East</v>
      </c>
      <c r="L44" s="2" t="str">
        <f>PROPER(TRIM(Raw_Data!L44))</f>
        <v>Standard</v>
      </c>
      <c r="M44" s="3">
        <f>Raw_Data!M44</f>
        <v>44587</v>
      </c>
      <c r="N44" s="4">
        <f>Raw_Data!N44</f>
        <v>449.95</v>
      </c>
    </row>
    <row r="45" spans="1:14" ht="15" customHeight="1" x14ac:dyDescent="0.35">
      <c r="A45" s="2" t="str">
        <f>UPPER(TRIM(Raw_Data!A45))</f>
        <v>TRX0234</v>
      </c>
      <c r="B45" s="3">
        <f>Raw_Data!B45</f>
        <v>45449</v>
      </c>
      <c r="C45" s="2" t="str">
        <f>UPPER(TRIM(Raw_Data!C45))</f>
        <v>CUST013</v>
      </c>
      <c r="D45" s="2" t="str">
        <f>PROPER(TRIM(Raw_Data!D45))</f>
        <v>Joseph Jackson</v>
      </c>
      <c r="E45" s="2" t="str">
        <f>UPPER(TRIM(Raw_Data!E45))</f>
        <v>P009</v>
      </c>
      <c r="F45" s="2" t="str">
        <f>PROPER(TRIM(Raw_Data!F45))</f>
        <v>Monitor</v>
      </c>
      <c r="G45" s="2" t="str">
        <f>PROPER(TRIM(Raw_Data!G45))</f>
        <v>Electronics</v>
      </c>
      <c r="H45" s="2">
        <f>Raw_Data!H45</f>
        <v>5</v>
      </c>
      <c r="I45" s="4">
        <f>Raw_Data!I45</f>
        <v>249.99</v>
      </c>
      <c r="J45" s="2" t="str">
        <f>PROPER(TRIM(Raw_Data!J45))</f>
        <v>Credit Card</v>
      </c>
      <c r="K45" s="2" t="str">
        <f>PROPER(TRIM(Raw_Data!K45))</f>
        <v>East</v>
      </c>
      <c r="L45" s="2" t="str">
        <f>PROPER(TRIM(Raw_Data!L45))</f>
        <v>Standard</v>
      </c>
      <c r="M45" s="3">
        <f>Raw_Data!M45</f>
        <v>44707</v>
      </c>
      <c r="N45" s="4">
        <f>Raw_Data!N45</f>
        <v>1249.95</v>
      </c>
    </row>
    <row r="46" spans="1:14" ht="15" customHeight="1" x14ac:dyDescent="0.35">
      <c r="A46" s="2" t="str">
        <f>UPPER(TRIM(Raw_Data!A46))</f>
        <v>TRX0121</v>
      </c>
      <c r="B46" s="3">
        <f>Raw_Data!B46</f>
        <v>45449</v>
      </c>
      <c r="C46" s="2" t="str">
        <f>UPPER(TRIM(Raw_Data!C46))</f>
        <v>CUST028</v>
      </c>
      <c r="D46" s="2" t="str">
        <f>PROPER(TRIM(Raw_Data!D46))</f>
        <v>Betty Campbell</v>
      </c>
      <c r="E46" s="2" t="str">
        <f>UPPER(TRIM(Raw_Data!E46))</f>
        <v>P010</v>
      </c>
      <c r="F46" s="2" t="str">
        <f>PROPER(TRIM(Raw_Data!F46))</f>
        <v>Keyboard</v>
      </c>
      <c r="G46" s="2" t="str">
        <f>PROPER(TRIM(Raw_Data!G46))</f>
        <v>Electronics</v>
      </c>
      <c r="H46" s="2">
        <f>Raw_Data!H46</f>
        <v>1</v>
      </c>
      <c r="I46" s="4">
        <f>Raw_Data!I46</f>
        <v>89.99</v>
      </c>
      <c r="J46" s="2" t="str">
        <f>PROPER(TRIM(Raw_Data!J46))</f>
        <v>Credit Card</v>
      </c>
      <c r="K46" s="2" t="str">
        <f>PROPER(TRIM(Raw_Data!K46))</f>
        <v>South</v>
      </c>
      <c r="L46" s="2" t="str">
        <f>PROPER(TRIM(Raw_Data!L46))</f>
        <v>Standard</v>
      </c>
      <c r="M46" s="3">
        <f>Raw_Data!M46</f>
        <v>44582</v>
      </c>
      <c r="N46" s="4">
        <f>Raw_Data!N46</f>
        <v>89.99</v>
      </c>
    </row>
    <row r="47" spans="1:14" ht="15" customHeight="1" x14ac:dyDescent="0.35">
      <c r="A47" s="2" t="str">
        <f>UPPER(TRIM(Raw_Data!A47))</f>
        <v>TRX0220</v>
      </c>
      <c r="B47" s="3">
        <f>Raw_Data!B47</f>
        <v>45450</v>
      </c>
      <c r="C47" s="2" t="str">
        <f>UPPER(TRIM(Raw_Data!C47))</f>
        <v>CUST003</v>
      </c>
      <c r="D47" s="2" t="str">
        <f>PROPER(TRIM(Raw_Data!D47))</f>
        <v>Michael Brown</v>
      </c>
      <c r="E47" s="2" t="str">
        <f>UPPER(TRIM(Raw_Data!E47))</f>
        <v>P008</v>
      </c>
      <c r="F47" s="2" t="str">
        <f>PROPER(TRIM(Raw_Data!F47))</f>
        <v>Bookshelf</v>
      </c>
      <c r="G47" s="2" t="str">
        <f>PROPER(TRIM(Raw_Data!G47))</f>
        <v>Furniture</v>
      </c>
      <c r="H47" s="2">
        <f>Raw_Data!H47</f>
        <v>2</v>
      </c>
      <c r="I47" s="4">
        <f>Raw_Data!I47</f>
        <v>149.99</v>
      </c>
      <c r="J47" s="2" t="str">
        <f>PROPER(TRIM(Raw_Data!J47))</f>
        <v>Cash</v>
      </c>
      <c r="K47" s="2" t="str">
        <f>PROPER(TRIM(Raw_Data!K47))</f>
        <v>East</v>
      </c>
      <c r="L47" s="2" t="str">
        <f>PROPER(TRIM(Raw_Data!L47))</f>
        <v>Premium</v>
      </c>
      <c r="M47" s="3">
        <f>Raw_Data!M47</f>
        <v>44645</v>
      </c>
      <c r="N47" s="4">
        <f>Raw_Data!N47</f>
        <v>299.98</v>
      </c>
    </row>
    <row r="48" spans="1:14" ht="15" customHeight="1" x14ac:dyDescent="0.35">
      <c r="A48" s="2" t="str">
        <f>UPPER(TRIM(Raw_Data!A48))</f>
        <v>TRX0093</v>
      </c>
      <c r="B48" s="3">
        <f>Raw_Data!B48</f>
        <v>45452</v>
      </c>
      <c r="C48" s="2" t="str">
        <f>UPPER(TRIM(Raw_Data!C48))</f>
        <v>CUST050</v>
      </c>
      <c r="D48" s="2" t="str">
        <f>PROPER(TRIM(Raw_Data!D48))</f>
        <v>Julie Foster</v>
      </c>
      <c r="E48" s="2" t="str">
        <f>UPPER(TRIM(Raw_Data!E48))</f>
        <v>P005</v>
      </c>
      <c r="F48" s="2" t="str">
        <f>PROPER(TRIM(Raw_Data!F48))</f>
        <v>Blender</v>
      </c>
      <c r="G48" s="2" t="str">
        <f>PROPER(TRIM(Raw_Data!G48))</f>
        <v>Appliances</v>
      </c>
      <c r="H48" s="2">
        <f>Raw_Data!H48</f>
        <v>4</v>
      </c>
      <c r="I48" s="4">
        <f>Raw_Data!I48</f>
        <v>59.99</v>
      </c>
      <c r="J48" s="2" t="str">
        <f>PROPER(TRIM(Raw_Data!J48))</f>
        <v>Cash</v>
      </c>
      <c r="K48" s="2" t="str">
        <f>PROPER(TRIM(Raw_Data!K48))</f>
        <v>East</v>
      </c>
      <c r="L48" s="2" t="str">
        <f>PROPER(TRIM(Raw_Data!L48))</f>
        <v>Standard</v>
      </c>
      <c r="M48" s="3">
        <f>Raw_Data!M48</f>
        <v>44435</v>
      </c>
      <c r="N48" s="4">
        <f>Raw_Data!N48</f>
        <v>239.96</v>
      </c>
    </row>
    <row r="49" spans="1:14" ht="15" customHeight="1" x14ac:dyDescent="0.35">
      <c r="A49" s="2" t="str">
        <f>UPPER(TRIM(Raw_Data!A49))</f>
        <v>TRX0088</v>
      </c>
      <c r="B49" s="3">
        <f>Raw_Data!B49</f>
        <v>45456</v>
      </c>
      <c r="C49" s="2" t="str">
        <f>UPPER(TRIM(Raw_Data!C49))</f>
        <v>CUST006</v>
      </c>
      <c r="D49" s="2" t="str">
        <f>PROPER(TRIM(Raw_Data!D49))</f>
        <v>Lisa Anderson</v>
      </c>
      <c r="E49" s="2" t="str">
        <f>UPPER(TRIM(Raw_Data!E49))</f>
        <v>P010</v>
      </c>
      <c r="F49" s="2" t="str">
        <f>PROPER(TRIM(Raw_Data!F49))</f>
        <v>Keyboard</v>
      </c>
      <c r="G49" s="2" t="str">
        <f>PROPER(TRIM(Raw_Data!G49))</f>
        <v>Electronics</v>
      </c>
      <c r="H49" s="2">
        <f>Raw_Data!H49</f>
        <v>5</v>
      </c>
      <c r="I49" s="4">
        <f>Raw_Data!I49</f>
        <v>89.99</v>
      </c>
      <c r="J49" s="2" t="str">
        <f>PROPER(TRIM(Raw_Data!J49))</f>
        <v>Cash</v>
      </c>
      <c r="K49" s="2" t="str">
        <f>PROPER(TRIM(Raw_Data!K49))</f>
        <v>Central</v>
      </c>
      <c r="L49" s="2" t="str">
        <f>PROPER(TRIM(Raw_Data!L49))</f>
        <v>Premium</v>
      </c>
      <c r="M49" s="3">
        <f>Raw_Data!M49</f>
        <v>44579</v>
      </c>
      <c r="N49" s="4">
        <f>Raw_Data!N49</f>
        <v>449.95</v>
      </c>
    </row>
    <row r="50" spans="1:14" ht="15" customHeight="1" x14ac:dyDescent="0.35">
      <c r="A50" s="2" t="str">
        <f>UPPER(TRIM(Raw_Data!A50))</f>
        <v>TRX0115</v>
      </c>
      <c r="B50" s="3">
        <f>Raw_Data!B50</f>
        <v>45459</v>
      </c>
      <c r="C50" s="2" t="str">
        <f>UPPER(TRIM(Raw_Data!C50))</f>
        <v>CUST012</v>
      </c>
      <c r="D50" s="2" t="str">
        <f>PROPER(TRIM(Raw_Data!D50))</f>
        <v>Patricia Moore</v>
      </c>
      <c r="E50" s="2" t="str">
        <f>UPPER(TRIM(Raw_Data!E50))</f>
        <v>P010</v>
      </c>
      <c r="F50" s="2" t="str">
        <f>PROPER(TRIM(Raw_Data!F50))</f>
        <v>Keyboard</v>
      </c>
      <c r="G50" s="2" t="str">
        <f>PROPER(TRIM(Raw_Data!G50))</f>
        <v>Electronics</v>
      </c>
      <c r="H50" s="2">
        <f>Raw_Data!H50</f>
        <v>2</v>
      </c>
      <c r="I50" s="4">
        <f>Raw_Data!I50</f>
        <v>89.99</v>
      </c>
      <c r="J50" s="2" t="str">
        <f>PROPER(TRIM(Raw_Data!J50))</f>
        <v>Credit Card</v>
      </c>
      <c r="K50" s="2" t="str">
        <f>PROPER(TRIM(Raw_Data!K50))</f>
        <v>South</v>
      </c>
      <c r="L50" s="2" t="str">
        <f>PROPER(TRIM(Raw_Data!L50))</f>
        <v>Premium</v>
      </c>
      <c r="M50" s="3">
        <f>Raw_Data!M50</f>
        <v>44471</v>
      </c>
      <c r="N50" s="4">
        <f>Raw_Data!N50</f>
        <v>179.98</v>
      </c>
    </row>
    <row r="51" spans="1:14" ht="15" customHeight="1" x14ac:dyDescent="0.35">
      <c r="A51" s="2" t="str">
        <f>UPPER(TRIM(Raw_Data!A51))</f>
        <v>TRX0154</v>
      </c>
      <c r="B51" s="3">
        <f>Raw_Data!B51</f>
        <v>45459</v>
      </c>
      <c r="C51" s="2" t="str">
        <f>UPPER(TRIM(Raw_Data!C51))</f>
        <v>CUST023</v>
      </c>
      <c r="D51" s="2" t="str">
        <f>PROPER(TRIM(Raw_Data!D51))</f>
        <v>Paul Baker</v>
      </c>
      <c r="E51" s="2" t="str">
        <f>UPPER(TRIM(Raw_Data!E51))</f>
        <v>P001</v>
      </c>
      <c r="F51" s="2" t="str">
        <f>PROPER(TRIM(Raw_Data!F51))</f>
        <v>Laptop</v>
      </c>
      <c r="G51" s="2" t="str">
        <f>PROPER(TRIM(Raw_Data!G51))</f>
        <v>Electronics</v>
      </c>
      <c r="H51" s="2">
        <f>Raw_Data!H51</f>
        <v>5</v>
      </c>
      <c r="I51" s="4">
        <f>Raw_Data!I51</f>
        <v>899.99</v>
      </c>
      <c r="J51" s="2" t="str">
        <f>PROPER(TRIM(Raw_Data!J51))</f>
        <v>Credit Card</v>
      </c>
      <c r="K51" s="2" t="str">
        <f>PROPER(TRIM(Raw_Data!K51))</f>
        <v>South</v>
      </c>
      <c r="L51" s="2" t="str">
        <f>PROPER(TRIM(Raw_Data!L51))</f>
        <v>Standard</v>
      </c>
      <c r="M51" s="3">
        <f>Raw_Data!M51</f>
        <v>44974</v>
      </c>
      <c r="N51" s="4">
        <f>Raw_Data!N51</f>
        <v>4499.95</v>
      </c>
    </row>
    <row r="52" spans="1:14" ht="15" customHeight="1" x14ac:dyDescent="0.35">
      <c r="A52" s="2" t="str">
        <f>UPPER(TRIM(Raw_Data!A52))</f>
        <v>TRX0044</v>
      </c>
      <c r="B52" s="3">
        <f>Raw_Data!B52</f>
        <v>45459</v>
      </c>
      <c r="C52" s="2" t="str">
        <f>UPPER(TRIM(Raw_Data!C52))</f>
        <v>CUST029</v>
      </c>
      <c r="D52" s="2" t="str">
        <f>PROPER(TRIM(Raw_Data!D52))</f>
        <v>Edward Mitchell</v>
      </c>
      <c r="E52" s="2" t="str">
        <f>UPPER(TRIM(Raw_Data!E52))</f>
        <v>P001</v>
      </c>
      <c r="F52" s="2" t="str">
        <f>PROPER(TRIM(Raw_Data!F52))</f>
        <v>Laptop</v>
      </c>
      <c r="G52" s="2" t="str">
        <f>PROPER(TRIM(Raw_Data!G52))</f>
        <v>Electronics</v>
      </c>
      <c r="H52" s="2">
        <f>Raw_Data!H52</f>
        <v>5</v>
      </c>
      <c r="I52" s="4">
        <f>Raw_Data!I52</f>
        <v>899.99</v>
      </c>
      <c r="J52" s="2" t="str">
        <f>PROPER(TRIM(Raw_Data!J52))</f>
        <v>Paypal</v>
      </c>
      <c r="K52" s="2" t="str">
        <f>PROPER(TRIM(Raw_Data!K52))</f>
        <v>East</v>
      </c>
      <c r="L52" s="2" t="str">
        <f>PROPER(TRIM(Raw_Data!L52))</f>
        <v>Premium</v>
      </c>
      <c r="M52" s="3">
        <f>Raw_Data!M52</f>
        <v>45278</v>
      </c>
      <c r="N52" s="4">
        <f>Raw_Data!N52</f>
        <v>4499.95</v>
      </c>
    </row>
    <row r="53" spans="1:14" ht="15" customHeight="1" x14ac:dyDescent="0.35">
      <c r="A53" s="2" t="str">
        <f>UPPER(TRIM(Raw_Data!A53))</f>
        <v>TRX0061</v>
      </c>
      <c r="B53" s="3">
        <f>Raw_Data!B53</f>
        <v>45460</v>
      </c>
      <c r="C53" s="2" t="str">
        <f>UPPER(TRIM(Raw_Data!C53))</f>
        <v>CUST028</v>
      </c>
      <c r="D53" s="2" t="str">
        <f>PROPER(TRIM(Raw_Data!D53))</f>
        <v>Betty Campbell</v>
      </c>
      <c r="E53" s="2" t="str">
        <f>UPPER(TRIM(Raw_Data!E53))</f>
        <v>P005</v>
      </c>
      <c r="F53" s="2" t="str">
        <f>PROPER(TRIM(Raw_Data!F53))</f>
        <v>Blender</v>
      </c>
      <c r="G53" s="2" t="str">
        <f>PROPER(TRIM(Raw_Data!G53))</f>
        <v>Appliances</v>
      </c>
      <c r="H53" s="2">
        <f>Raw_Data!H53</f>
        <v>1</v>
      </c>
      <c r="I53" s="4">
        <f>Raw_Data!I53</f>
        <v>59.99</v>
      </c>
      <c r="J53" s="2" t="str">
        <f>PROPER(TRIM(Raw_Data!J53))</f>
        <v>Debit Card</v>
      </c>
      <c r="K53" s="2" t="str">
        <f>PROPER(TRIM(Raw_Data!K53))</f>
        <v>West</v>
      </c>
      <c r="L53" s="2" t="str">
        <f>PROPER(TRIM(Raw_Data!L53))</f>
        <v>Premium</v>
      </c>
      <c r="M53" s="3">
        <f>Raw_Data!M53</f>
        <v>45190</v>
      </c>
      <c r="N53" s="4">
        <f>Raw_Data!N53</f>
        <v>59.99</v>
      </c>
    </row>
    <row r="54" spans="1:14" ht="15" customHeight="1" x14ac:dyDescent="0.35">
      <c r="A54" s="2" t="str">
        <f>UPPER(TRIM(Raw_Data!A54))</f>
        <v>TRX0150</v>
      </c>
      <c r="B54" s="3">
        <f>Raw_Data!B54</f>
        <v>45460</v>
      </c>
      <c r="C54" s="2" t="str">
        <f>UPPER(TRIM(Raw_Data!C54))</f>
        <v>CUST008</v>
      </c>
      <c r="D54" s="2" t="str">
        <f>PROPER(TRIM(Raw_Data!D54))</f>
        <v>Jennifer Taylor</v>
      </c>
      <c r="E54" s="2" t="str">
        <f>UPPER(TRIM(Raw_Data!E54))</f>
        <v>P007</v>
      </c>
      <c r="F54" s="2" t="str">
        <f>PROPER(TRIM(Raw_Data!F54))</f>
        <v>Desk</v>
      </c>
      <c r="G54" s="2" t="str">
        <f>PROPER(TRIM(Raw_Data!G54))</f>
        <v>Furniture</v>
      </c>
      <c r="H54" s="2">
        <f>Raw_Data!H54</f>
        <v>2</v>
      </c>
      <c r="I54" s="4">
        <f>Raw_Data!I54</f>
        <v>299.99</v>
      </c>
      <c r="J54" s="2" t="str">
        <f>PROPER(TRIM(Raw_Data!J54))</f>
        <v>Debit Card</v>
      </c>
      <c r="K54" s="2" t="str">
        <f>PROPER(TRIM(Raw_Data!K54))</f>
        <v>East</v>
      </c>
      <c r="L54" s="2" t="str">
        <f>PROPER(TRIM(Raw_Data!L54))</f>
        <v>Standard</v>
      </c>
      <c r="M54" s="3">
        <f>Raw_Data!M54</f>
        <v>45253</v>
      </c>
      <c r="N54" s="4">
        <f>Raw_Data!N54</f>
        <v>599.98</v>
      </c>
    </row>
    <row r="55" spans="1:14" ht="15" customHeight="1" x14ac:dyDescent="0.35">
      <c r="A55" s="2" t="str">
        <f>UPPER(TRIM(Raw_Data!A55))</f>
        <v>TRX0025</v>
      </c>
      <c r="B55" s="3">
        <f>Raw_Data!B55</f>
        <v>45468</v>
      </c>
      <c r="C55" s="2" t="str">
        <f>UPPER(TRIM(Raw_Data!C55))</f>
        <v>CUST049</v>
      </c>
      <c r="D55" s="2" t="str">
        <f>PROPER(TRIM(Raw_Data!D55))</f>
        <v>Raymond Ross</v>
      </c>
      <c r="E55" s="2" t="str">
        <f>UPPER(TRIM(Raw_Data!E55))</f>
        <v>P010</v>
      </c>
      <c r="F55" s="2" t="str">
        <f>PROPER(TRIM(Raw_Data!F55))</f>
        <v>Keyboard</v>
      </c>
      <c r="G55" s="2" t="str">
        <f>PROPER(TRIM(Raw_Data!G55))</f>
        <v>Electronics</v>
      </c>
      <c r="H55" s="2">
        <f>Raw_Data!H55</f>
        <v>4</v>
      </c>
      <c r="I55" s="4">
        <f>Raw_Data!I55</f>
        <v>89.99</v>
      </c>
      <c r="J55" s="2" t="str">
        <f>PROPER(TRIM(Raw_Data!J55))</f>
        <v>Debit Card</v>
      </c>
      <c r="K55" s="2" t="str">
        <f>PROPER(TRIM(Raw_Data!K55))</f>
        <v>South</v>
      </c>
      <c r="L55" s="2" t="str">
        <f>PROPER(TRIM(Raw_Data!L55))</f>
        <v>Basic</v>
      </c>
      <c r="M55" s="3">
        <f>Raw_Data!M55</f>
        <v>45281</v>
      </c>
      <c r="N55" s="4">
        <f>Raw_Data!N55</f>
        <v>359.96</v>
      </c>
    </row>
    <row r="56" spans="1:14" ht="15" customHeight="1" x14ac:dyDescent="0.35">
      <c r="A56" s="2" t="str">
        <f>UPPER(TRIM(Raw_Data!A56))</f>
        <v>TRX0078</v>
      </c>
      <c r="B56" s="3">
        <f>Raw_Data!B56</f>
        <v>45469</v>
      </c>
      <c r="C56" s="2" t="str">
        <f>UPPER(TRIM(Raw_Data!C56))</f>
        <v>CUST021</v>
      </c>
      <c r="D56" s="2" t="str">
        <f>PROPER(TRIM(Raw_Data!D56))</f>
        <v>Kevin Scott</v>
      </c>
      <c r="E56" s="2" t="str">
        <f>UPPER(TRIM(Raw_Data!E56))</f>
        <v>P004</v>
      </c>
      <c r="F56" s="2" t="str">
        <f>PROPER(TRIM(Raw_Data!F56))</f>
        <v>Coffee Maker</v>
      </c>
      <c r="G56" s="2" t="str">
        <f>PROPER(TRIM(Raw_Data!G56))</f>
        <v>Appliances</v>
      </c>
      <c r="H56" s="2">
        <f>Raw_Data!H56</f>
        <v>1</v>
      </c>
      <c r="I56" s="4">
        <f>Raw_Data!I56</f>
        <v>79.989999999999995</v>
      </c>
      <c r="J56" s="2" t="str">
        <f>PROPER(TRIM(Raw_Data!J56))</f>
        <v>Paypal</v>
      </c>
      <c r="K56" s="2" t="str">
        <f>PROPER(TRIM(Raw_Data!K56))</f>
        <v>Central</v>
      </c>
      <c r="L56" s="2" t="str">
        <f>PROPER(TRIM(Raw_Data!L56))</f>
        <v>Premium</v>
      </c>
      <c r="M56" s="3">
        <f>Raw_Data!M56</f>
        <v>45352</v>
      </c>
      <c r="N56" s="4">
        <f>Raw_Data!N56</f>
        <v>79.989999999999995</v>
      </c>
    </row>
    <row r="57" spans="1:14" ht="15" customHeight="1" x14ac:dyDescent="0.35">
      <c r="A57" s="2" t="str">
        <f>UPPER(TRIM(Raw_Data!A57))</f>
        <v>TRX0007</v>
      </c>
      <c r="B57" s="3">
        <f>Raw_Data!B57</f>
        <v>45469</v>
      </c>
      <c r="C57" s="2" t="str">
        <f>UPPER(TRIM(Raw_Data!C57))</f>
        <v>CUST009</v>
      </c>
      <c r="D57" s="2" t="str">
        <f>PROPER(TRIM(Raw_Data!D57))</f>
        <v>Robert Thomas</v>
      </c>
      <c r="E57" s="2" t="str">
        <f>UPPER(TRIM(Raw_Data!E57))</f>
        <v>P010</v>
      </c>
      <c r="F57" s="2" t="str">
        <f>PROPER(TRIM(Raw_Data!F57))</f>
        <v>Keyboard</v>
      </c>
      <c r="G57" s="2" t="str">
        <f>PROPER(TRIM(Raw_Data!G57))</f>
        <v>Electronics</v>
      </c>
      <c r="H57" s="2">
        <f>Raw_Data!H57</f>
        <v>2</v>
      </c>
      <c r="I57" s="4">
        <f>Raw_Data!I57</f>
        <v>89.99</v>
      </c>
      <c r="J57" s="2" t="str">
        <f>PROPER(TRIM(Raw_Data!J57))</f>
        <v>Cash</v>
      </c>
      <c r="K57" s="2" t="str">
        <f>PROPER(TRIM(Raw_Data!K57))</f>
        <v>West</v>
      </c>
      <c r="L57" s="2" t="str">
        <f>PROPER(TRIM(Raw_Data!L57))</f>
        <v>Basic</v>
      </c>
      <c r="M57" s="3">
        <f>Raw_Data!M57</f>
        <v>44438</v>
      </c>
      <c r="N57" s="4">
        <f>Raw_Data!N57</f>
        <v>179.98</v>
      </c>
    </row>
    <row r="58" spans="1:14" ht="15" customHeight="1" x14ac:dyDescent="0.35">
      <c r="A58" s="2" t="str">
        <f>UPPER(TRIM(Raw_Data!A58))</f>
        <v>TRX0184</v>
      </c>
      <c r="B58" s="3">
        <f>Raw_Data!B58</f>
        <v>45471</v>
      </c>
      <c r="C58" s="2" t="str">
        <f>UPPER(TRIM(Raw_Data!C58))</f>
        <v>CUST046</v>
      </c>
      <c r="D58" s="2" t="str">
        <f>PROPER(TRIM(Raw_Data!D58))</f>
        <v>Kathleen Bennett</v>
      </c>
      <c r="E58" s="2" t="str">
        <f>UPPER(TRIM(Raw_Data!E58))</f>
        <v>P002</v>
      </c>
      <c r="F58" s="2" t="str">
        <f>PROPER(TRIM(Raw_Data!F58))</f>
        <v>Smartphone</v>
      </c>
      <c r="G58" s="2" t="str">
        <f>PROPER(TRIM(Raw_Data!G58))</f>
        <v>Electronics</v>
      </c>
      <c r="H58" s="2">
        <f>Raw_Data!H58</f>
        <v>3</v>
      </c>
      <c r="I58" s="4">
        <f>Raw_Data!I58</f>
        <v>699.99</v>
      </c>
      <c r="J58" s="2" t="str">
        <f>PROPER(TRIM(Raw_Data!J58))</f>
        <v>Credit Card</v>
      </c>
      <c r="K58" s="2" t="str">
        <f>PROPER(TRIM(Raw_Data!K58))</f>
        <v>East</v>
      </c>
      <c r="L58" s="2" t="str">
        <f>PROPER(TRIM(Raw_Data!L58))</f>
        <v>Premium</v>
      </c>
      <c r="M58" s="3">
        <f>Raw_Data!M58</f>
        <v>45102</v>
      </c>
      <c r="N58" s="4">
        <f>Raw_Data!N58</f>
        <v>2099.9699999999998</v>
      </c>
    </row>
    <row r="59" spans="1:14" ht="15" customHeight="1" x14ac:dyDescent="0.35">
      <c r="A59" s="2" t="str">
        <f>UPPER(TRIM(Raw_Data!A59))</f>
        <v>TRX0104</v>
      </c>
      <c r="B59" s="3">
        <f>Raw_Data!B59</f>
        <v>45471</v>
      </c>
      <c r="C59" s="2" t="str">
        <f>UPPER(TRIM(Raw_Data!C59))</f>
        <v>CUST012</v>
      </c>
      <c r="D59" s="2" t="str">
        <f>PROPER(TRIM(Raw_Data!D59))</f>
        <v>Patricia Moore</v>
      </c>
      <c r="E59" s="2" t="str">
        <f>UPPER(TRIM(Raw_Data!E59))</f>
        <v>P001</v>
      </c>
      <c r="F59" s="2" t="str">
        <f>PROPER(TRIM(Raw_Data!F59))</f>
        <v>Laptop</v>
      </c>
      <c r="G59" s="2" t="str">
        <f>PROPER(TRIM(Raw_Data!G59))</f>
        <v>Electronics</v>
      </c>
      <c r="H59" s="2">
        <f>Raw_Data!H59</f>
        <v>4</v>
      </c>
      <c r="I59" s="4">
        <f>Raw_Data!I59</f>
        <v>899.99</v>
      </c>
      <c r="J59" s="2" t="str">
        <f>PROPER(TRIM(Raw_Data!J59))</f>
        <v>Credit Card</v>
      </c>
      <c r="K59" s="2" t="str">
        <f>PROPER(TRIM(Raw_Data!K59))</f>
        <v>East</v>
      </c>
      <c r="L59" s="2" t="str">
        <f>PROPER(TRIM(Raw_Data!L59))</f>
        <v>Premium</v>
      </c>
      <c r="M59" s="3">
        <f>Raw_Data!M59</f>
        <v>44993</v>
      </c>
      <c r="N59" s="4">
        <f>Raw_Data!N59</f>
        <v>3599.96</v>
      </c>
    </row>
    <row r="60" spans="1:14" ht="15" customHeight="1" x14ac:dyDescent="0.35">
      <c r="A60" s="2" t="str">
        <f>UPPER(TRIM(Raw_Data!A60))</f>
        <v>TRX0127</v>
      </c>
      <c r="B60" s="3">
        <f>Raw_Data!B60</f>
        <v>45472</v>
      </c>
      <c r="C60" s="2" t="str">
        <f>UPPER(TRIM(Raw_Data!C60))</f>
        <v>CUST030</v>
      </c>
      <c r="D60" s="2" t="str">
        <f>PROPER(TRIM(Raw_Data!D60))</f>
        <v>Helen Roberts</v>
      </c>
      <c r="E60" s="2" t="str">
        <f>UPPER(TRIM(Raw_Data!E60))</f>
        <v>P008</v>
      </c>
      <c r="F60" s="2" t="str">
        <f>PROPER(TRIM(Raw_Data!F60))</f>
        <v>Bookshelf</v>
      </c>
      <c r="G60" s="2" t="str">
        <f>PROPER(TRIM(Raw_Data!G60))</f>
        <v>Furniture</v>
      </c>
      <c r="H60" s="2">
        <f>Raw_Data!H60</f>
        <v>1</v>
      </c>
      <c r="I60" s="4">
        <f>Raw_Data!I60</f>
        <v>149.99</v>
      </c>
      <c r="J60" s="2" t="str">
        <f>PROPER(TRIM(Raw_Data!J60))</f>
        <v>Paypal</v>
      </c>
      <c r="K60" s="2" t="str">
        <f>PROPER(TRIM(Raw_Data!K60))</f>
        <v>East</v>
      </c>
      <c r="L60" s="2" t="str">
        <f>PROPER(TRIM(Raw_Data!L60))</f>
        <v>Basic</v>
      </c>
      <c r="M60" s="3">
        <f>Raw_Data!M60</f>
        <v>44851</v>
      </c>
      <c r="N60" s="4">
        <f>Raw_Data!N60</f>
        <v>149.99</v>
      </c>
    </row>
    <row r="61" spans="1:14" ht="15" customHeight="1" x14ac:dyDescent="0.35">
      <c r="A61" s="2" t="str">
        <f>UPPER(TRIM(Raw_Data!A61))</f>
        <v>TRX0096</v>
      </c>
      <c r="B61" s="3">
        <f>Raw_Data!B61</f>
        <v>45474</v>
      </c>
      <c r="C61" s="2" t="str">
        <f>UPPER(TRIM(Raw_Data!C61))</f>
        <v>CUST002</v>
      </c>
      <c r="D61" s="2" t="str">
        <f>PROPER(TRIM(Raw_Data!D61))</f>
        <v>Emma Wilson</v>
      </c>
      <c r="E61" s="2" t="str">
        <f>UPPER(TRIM(Raw_Data!E61))</f>
        <v>P010</v>
      </c>
      <c r="F61" s="2" t="str">
        <f>PROPER(TRIM(Raw_Data!F61))</f>
        <v>Keyboard</v>
      </c>
      <c r="G61" s="2" t="str">
        <f>PROPER(TRIM(Raw_Data!G61))</f>
        <v>Electronics</v>
      </c>
      <c r="H61" s="2">
        <f>Raw_Data!H61</f>
        <v>2</v>
      </c>
      <c r="I61" s="4">
        <f>Raw_Data!I61</f>
        <v>89.99</v>
      </c>
      <c r="J61" s="2" t="str">
        <f>PROPER(TRIM(Raw_Data!J61))</f>
        <v>Paypal</v>
      </c>
      <c r="K61" s="2" t="str">
        <f>PROPER(TRIM(Raw_Data!K61))</f>
        <v>Central</v>
      </c>
      <c r="L61" s="2" t="str">
        <f>PROPER(TRIM(Raw_Data!L61))</f>
        <v>Premium</v>
      </c>
      <c r="M61" s="3">
        <f>Raw_Data!M61</f>
        <v>45275</v>
      </c>
      <c r="N61" s="4">
        <f>Raw_Data!N61</f>
        <v>179.98</v>
      </c>
    </row>
    <row r="62" spans="1:14" ht="15" customHeight="1" x14ac:dyDescent="0.35">
      <c r="A62" s="2" t="str">
        <f>UPPER(TRIM(Raw_Data!A62))</f>
        <v>TRX0192</v>
      </c>
      <c r="B62" s="3">
        <f>Raw_Data!B62</f>
        <v>45475</v>
      </c>
      <c r="C62" s="2" t="str">
        <f>UPPER(TRIM(Raw_Data!C62))</f>
        <v>CUST017</v>
      </c>
      <c r="D62" s="2" t="str">
        <f>PROPER(TRIM(Raw_Data!D62))</f>
        <v>Charles Allen</v>
      </c>
      <c r="E62" s="2" t="str">
        <f>UPPER(TRIM(Raw_Data!E62))</f>
        <v>P010</v>
      </c>
      <c r="F62" s="2" t="str">
        <f>PROPER(TRIM(Raw_Data!F62))</f>
        <v>Keyboard</v>
      </c>
      <c r="G62" s="2" t="str">
        <f>PROPER(TRIM(Raw_Data!G62))</f>
        <v>Electronics</v>
      </c>
      <c r="H62" s="2">
        <f>Raw_Data!H62</f>
        <v>1</v>
      </c>
      <c r="I62" s="4">
        <f>Raw_Data!I62</f>
        <v>89.99</v>
      </c>
      <c r="J62" s="2" t="str">
        <f>PROPER(TRIM(Raw_Data!J62))</f>
        <v>Paypal</v>
      </c>
      <c r="K62" s="2" t="str">
        <f>PROPER(TRIM(Raw_Data!K62))</f>
        <v>West</v>
      </c>
      <c r="L62" s="2" t="str">
        <f>PROPER(TRIM(Raw_Data!L62))</f>
        <v>Standard</v>
      </c>
      <c r="M62" s="3">
        <f>Raw_Data!M62</f>
        <v>44802</v>
      </c>
      <c r="N62" s="4">
        <f>Raw_Data!N62</f>
        <v>89.99</v>
      </c>
    </row>
    <row r="63" spans="1:14" ht="15" customHeight="1" x14ac:dyDescent="0.35">
      <c r="A63" s="2" t="str">
        <f>UPPER(TRIM(Raw_Data!A63))</f>
        <v>TRX0052</v>
      </c>
      <c r="B63" s="3">
        <f>Raw_Data!B63</f>
        <v>45476</v>
      </c>
      <c r="C63" s="2" t="str">
        <f>UPPER(TRIM(Raw_Data!C63))</f>
        <v>CUST022</v>
      </c>
      <c r="D63" s="2" t="str">
        <f>PROPER(TRIM(Raw_Data!D63))</f>
        <v>Susan Green</v>
      </c>
      <c r="E63" s="2" t="str">
        <f>UPPER(TRIM(Raw_Data!E63))</f>
        <v>P010</v>
      </c>
      <c r="F63" s="2" t="str">
        <f>PROPER(TRIM(Raw_Data!F63))</f>
        <v>Keyboard</v>
      </c>
      <c r="G63" s="2" t="str">
        <f>PROPER(TRIM(Raw_Data!G63))</f>
        <v>Electronics</v>
      </c>
      <c r="H63" s="2">
        <f>Raw_Data!H63</f>
        <v>1</v>
      </c>
      <c r="I63" s="4">
        <f>Raw_Data!I63</f>
        <v>89.99</v>
      </c>
      <c r="J63" s="2" t="str">
        <f>PROPER(TRIM(Raw_Data!J63))</f>
        <v>Cash</v>
      </c>
      <c r="K63" s="2" t="str">
        <f>PROPER(TRIM(Raw_Data!K63))</f>
        <v>South</v>
      </c>
      <c r="L63" s="2" t="str">
        <f>PROPER(TRIM(Raw_Data!L63))</f>
        <v>Standard</v>
      </c>
      <c r="M63" s="3">
        <f>Raw_Data!M63</f>
        <v>44611</v>
      </c>
      <c r="N63" s="4">
        <f>Raw_Data!N63</f>
        <v>89.99</v>
      </c>
    </row>
    <row r="64" spans="1:14" ht="15" customHeight="1" x14ac:dyDescent="0.35">
      <c r="A64" s="2" t="str">
        <f>UPPER(TRIM(Raw_Data!A64))</f>
        <v>TRX0070</v>
      </c>
      <c r="B64" s="3">
        <f>Raw_Data!B64</f>
        <v>45476</v>
      </c>
      <c r="C64" s="2" t="str">
        <f>UPPER(TRIM(Raw_Data!C64))</f>
        <v>CUST007</v>
      </c>
      <c r="D64" s="2" t="str">
        <f>PROPER(TRIM(Raw_Data!D64))</f>
        <v>David Martinez</v>
      </c>
      <c r="E64" s="2" t="str">
        <f>UPPER(TRIM(Raw_Data!E64))</f>
        <v>P004</v>
      </c>
      <c r="F64" s="2" t="str">
        <f>PROPER(TRIM(Raw_Data!F64))</f>
        <v>Coffee Maker</v>
      </c>
      <c r="G64" s="2" t="str">
        <f>PROPER(TRIM(Raw_Data!G64))</f>
        <v>Appliances</v>
      </c>
      <c r="H64" s="2">
        <f>Raw_Data!H64</f>
        <v>5</v>
      </c>
      <c r="I64" s="4">
        <f>Raw_Data!I64</f>
        <v>79.989999999999995</v>
      </c>
      <c r="J64" s="2" t="str">
        <f>PROPER(TRIM(Raw_Data!J64))</f>
        <v>Debit Card</v>
      </c>
      <c r="K64" s="2" t="str">
        <f>PROPER(TRIM(Raw_Data!K64))</f>
        <v>Central</v>
      </c>
      <c r="L64" s="2" t="str">
        <f>PROPER(TRIM(Raw_Data!L64))</f>
        <v>Basic</v>
      </c>
      <c r="M64" s="3">
        <f>Raw_Data!M64</f>
        <v>44981</v>
      </c>
      <c r="N64" s="4">
        <f>Raw_Data!N64</f>
        <v>399.95</v>
      </c>
    </row>
    <row r="65" spans="1:14" ht="15" customHeight="1" x14ac:dyDescent="0.35">
      <c r="A65" s="2" t="str">
        <f>UPPER(TRIM(Raw_Data!A65))</f>
        <v>TRX0086</v>
      </c>
      <c r="B65" s="3">
        <f>Raw_Data!B65</f>
        <v>45481</v>
      </c>
      <c r="C65" s="2" t="str">
        <f>UPPER(TRIM(Raw_Data!C65))</f>
        <v>CUST020</v>
      </c>
      <c r="D65" s="2" t="str">
        <f>PROPER(TRIM(Raw_Data!D65))</f>
        <v>Margaret Wright</v>
      </c>
      <c r="E65" s="2" t="str">
        <f>UPPER(TRIM(Raw_Data!E65))</f>
        <v>P008</v>
      </c>
      <c r="F65" s="2" t="str">
        <f>PROPER(TRIM(Raw_Data!F65))</f>
        <v>Bookshelf</v>
      </c>
      <c r="G65" s="2" t="str">
        <f>PROPER(TRIM(Raw_Data!G65))</f>
        <v>Furniture</v>
      </c>
      <c r="H65" s="2">
        <f>Raw_Data!H65</f>
        <v>1</v>
      </c>
      <c r="I65" s="4">
        <f>Raw_Data!I65</f>
        <v>149.99</v>
      </c>
      <c r="J65" s="2" t="str">
        <f>PROPER(TRIM(Raw_Data!J65))</f>
        <v>Paypal</v>
      </c>
      <c r="K65" s="2" t="str">
        <f>PROPER(TRIM(Raw_Data!K65))</f>
        <v>North</v>
      </c>
      <c r="L65" s="2" t="str">
        <f>PROPER(TRIM(Raw_Data!L65))</f>
        <v>Basic</v>
      </c>
      <c r="M65" s="3">
        <f>Raw_Data!M65</f>
        <v>44421</v>
      </c>
      <c r="N65" s="4">
        <f>Raw_Data!N65</f>
        <v>149.99</v>
      </c>
    </row>
    <row r="66" spans="1:14" ht="15" customHeight="1" x14ac:dyDescent="0.35">
      <c r="A66" s="2" t="str">
        <f>UPPER(TRIM(Raw_Data!A66))</f>
        <v>TRX0113</v>
      </c>
      <c r="B66" s="3">
        <f>Raw_Data!B66</f>
        <v>45481</v>
      </c>
      <c r="C66" s="2" t="str">
        <f>UPPER(TRIM(Raw_Data!C66))</f>
        <v>CUST003</v>
      </c>
      <c r="D66" s="2" t="str">
        <f>PROPER(TRIM(Raw_Data!D66))</f>
        <v>Michael Brown</v>
      </c>
      <c r="E66" s="2" t="str">
        <f>UPPER(TRIM(Raw_Data!E66))</f>
        <v>P002</v>
      </c>
      <c r="F66" s="2" t="str">
        <f>PROPER(TRIM(Raw_Data!F66))</f>
        <v>Smartphone</v>
      </c>
      <c r="G66" s="2" t="str">
        <f>PROPER(TRIM(Raw_Data!G66))</f>
        <v>Electronics</v>
      </c>
      <c r="H66" s="2">
        <f>Raw_Data!H66</f>
        <v>2</v>
      </c>
      <c r="I66" s="4">
        <f>Raw_Data!I66</f>
        <v>699.99</v>
      </c>
      <c r="J66" s="2" t="str">
        <f>PROPER(TRIM(Raw_Data!J66))</f>
        <v>Paypal</v>
      </c>
      <c r="K66" s="2" t="str">
        <f>PROPER(TRIM(Raw_Data!K66))</f>
        <v>East</v>
      </c>
      <c r="L66" s="2" t="str">
        <f>PROPER(TRIM(Raw_Data!L66))</f>
        <v>Premium</v>
      </c>
      <c r="M66" s="3">
        <f>Raw_Data!M66</f>
        <v>45389</v>
      </c>
      <c r="N66" s="4">
        <f>Raw_Data!N66</f>
        <v>1399.98</v>
      </c>
    </row>
    <row r="67" spans="1:14" ht="15" customHeight="1" x14ac:dyDescent="0.35">
      <c r="A67" s="2" t="str">
        <f>UPPER(TRIM(Raw_Data!A67))</f>
        <v>TRX0114</v>
      </c>
      <c r="B67" s="3">
        <f>Raw_Data!B67</f>
        <v>45481</v>
      </c>
      <c r="C67" s="2" t="str">
        <f>UPPER(TRIM(Raw_Data!C67))</f>
        <v>CUST018</v>
      </c>
      <c r="D67" s="2" t="str">
        <f>PROPER(TRIM(Raw_Data!D67))</f>
        <v>Barbara Young</v>
      </c>
      <c r="E67" s="2" t="str">
        <f>UPPER(TRIM(Raw_Data!E67))</f>
        <v>P010</v>
      </c>
      <c r="F67" s="2" t="str">
        <f>PROPER(TRIM(Raw_Data!F67))</f>
        <v>Keyboard</v>
      </c>
      <c r="G67" s="2" t="str">
        <f>PROPER(TRIM(Raw_Data!G67))</f>
        <v>Electronics</v>
      </c>
      <c r="H67" s="2">
        <f>Raw_Data!H67</f>
        <v>5</v>
      </c>
      <c r="I67" s="4">
        <f>Raw_Data!I67</f>
        <v>89.99</v>
      </c>
      <c r="J67" s="2" t="str">
        <f>PROPER(TRIM(Raw_Data!J67))</f>
        <v>Debit Card</v>
      </c>
      <c r="K67" s="2" t="str">
        <f>PROPER(TRIM(Raw_Data!K67))</f>
        <v>North</v>
      </c>
      <c r="L67" s="2" t="str">
        <f>PROPER(TRIM(Raw_Data!L67))</f>
        <v>Premium</v>
      </c>
      <c r="M67" s="3">
        <f>Raw_Data!M67</f>
        <v>45161</v>
      </c>
      <c r="N67" s="4">
        <f>Raw_Data!N67</f>
        <v>449.95</v>
      </c>
    </row>
    <row r="68" spans="1:14" ht="15" customHeight="1" x14ac:dyDescent="0.35">
      <c r="A68" s="2" t="str">
        <f>UPPER(TRIM(Raw_Data!A68))</f>
        <v>TRX0136</v>
      </c>
      <c r="B68" s="3">
        <f>Raw_Data!B68</f>
        <v>45482</v>
      </c>
      <c r="C68" s="2" t="str">
        <f>UPPER(TRIM(Raw_Data!C68))</f>
        <v>CUST049</v>
      </c>
      <c r="D68" s="2" t="str">
        <f>PROPER(TRIM(Raw_Data!D68))</f>
        <v>Raymond Ross</v>
      </c>
      <c r="E68" s="2" t="str">
        <f>UPPER(TRIM(Raw_Data!E68))</f>
        <v>P005</v>
      </c>
      <c r="F68" s="2" t="str">
        <f>PROPER(TRIM(Raw_Data!F68))</f>
        <v>Blender</v>
      </c>
      <c r="G68" s="2" t="str">
        <f>PROPER(TRIM(Raw_Data!G68))</f>
        <v>Appliances</v>
      </c>
      <c r="H68" s="2">
        <f>Raw_Data!H68</f>
        <v>4</v>
      </c>
      <c r="I68" s="4">
        <f>Raw_Data!I68</f>
        <v>59.99</v>
      </c>
      <c r="J68" s="2" t="str">
        <f>PROPER(TRIM(Raw_Data!J68))</f>
        <v>Cash</v>
      </c>
      <c r="K68" s="2" t="str">
        <f>PROPER(TRIM(Raw_Data!K68))</f>
        <v>South</v>
      </c>
      <c r="L68" s="2" t="str">
        <f>PROPER(TRIM(Raw_Data!L68))</f>
        <v>Standard</v>
      </c>
      <c r="M68" s="3">
        <f>Raw_Data!M68</f>
        <v>44509</v>
      </c>
      <c r="N68" s="4">
        <f>Raw_Data!N68</f>
        <v>239.96</v>
      </c>
    </row>
    <row r="69" spans="1:14" ht="15" customHeight="1" x14ac:dyDescent="0.35">
      <c r="A69" s="2" t="str">
        <f>UPPER(TRIM(Raw_Data!A69))</f>
        <v>TRX0018</v>
      </c>
      <c r="B69" s="3">
        <f>Raw_Data!B69</f>
        <v>45484</v>
      </c>
      <c r="C69" s="2" t="str">
        <f>UPPER(TRIM(Raw_Data!C69))</f>
        <v>CUST013</v>
      </c>
      <c r="D69" s="2" t="str">
        <f>PROPER(TRIM(Raw_Data!D69))</f>
        <v>Joseph Jackson</v>
      </c>
      <c r="E69" s="2" t="str">
        <f>UPPER(TRIM(Raw_Data!E69))</f>
        <v>P003</v>
      </c>
      <c r="F69" s="2" t="str">
        <f>PROPER(TRIM(Raw_Data!F69))</f>
        <v>Headphones</v>
      </c>
      <c r="G69" s="2" t="str">
        <f>PROPER(TRIM(Raw_Data!G69))</f>
        <v>Electronics</v>
      </c>
      <c r="H69" s="2">
        <f>Raw_Data!H69</f>
        <v>1</v>
      </c>
      <c r="I69" s="4">
        <f>Raw_Data!I69</f>
        <v>149.99</v>
      </c>
      <c r="J69" s="2" t="str">
        <f>PROPER(TRIM(Raw_Data!J69))</f>
        <v>Cash</v>
      </c>
      <c r="K69" s="2" t="str">
        <f>PROPER(TRIM(Raw_Data!K69))</f>
        <v>Central</v>
      </c>
      <c r="L69" s="2" t="str">
        <f>PROPER(TRIM(Raw_Data!L69))</f>
        <v>Standard</v>
      </c>
      <c r="M69" s="3">
        <f>Raw_Data!M69</f>
        <v>44909</v>
      </c>
      <c r="N69" s="4">
        <f>Raw_Data!N69</f>
        <v>149.99</v>
      </c>
    </row>
    <row r="70" spans="1:14" ht="15" customHeight="1" x14ac:dyDescent="0.35">
      <c r="A70" s="2" t="str">
        <f>UPPER(TRIM(Raw_Data!A70))</f>
        <v>TRX0141</v>
      </c>
      <c r="B70" s="3">
        <f>Raw_Data!B70</f>
        <v>45484</v>
      </c>
      <c r="C70" s="2" t="str">
        <f>UPPER(TRIM(Raw_Data!C70))</f>
        <v>CUST033</v>
      </c>
      <c r="D70" s="2" t="str">
        <f>PROPER(TRIM(Raw_Data!D70))</f>
        <v>Frank Torres</v>
      </c>
      <c r="E70" s="2" t="str">
        <f>UPPER(TRIM(Raw_Data!E70))</f>
        <v>P007</v>
      </c>
      <c r="F70" s="2" t="str">
        <f>PROPER(TRIM(Raw_Data!F70))</f>
        <v>Desk</v>
      </c>
      <c r="G70" s="2" t="str">
        <f>PROPER(TRIM(Raw_Data!G70))</f>
        <v>Furniture</v>
      </c>
      <c r="H70" s="2">
        <f>Raw_Data!H70</f>
        <v>1</v>
      </c>
      <c r="I70" s="4">
        <f>Raw_Data!I70</f>
        <v>299.99</v>
      </c>
      <c r="J70" s="2" t="str">
        <f>PROPER(TRIM(Raw_Data!J70))</f>
        <v>Credit Card</v>
      </c>
      <c r="K70" s="2" t="str">
        <f>PROPER(TRIM(Raw_Data!K70))</f>
        <v>North</v>
      </c>
      <c r="L70" s="2" t="str">
        <f>PROPER(TRIM(Raw_Data!L70))</f>
        <v>Premium</v>
      </c>
      <c r="M70" s="3">
        <f>Raw_Data!M70</f>
        <v>44891</v>
      </c>
      <c r="N70" s="4">
        <f>Raw_Data!N70</f>
        <v>299.99</v>
      </c>
    </row>
    <row r="71" spans="1:14" ht="15" customHeight="1" x14ac:dyDescent="0.35">
      <c r="A71" s="2" t="str">
        <f>UPPER(TRIM(Raw_Data!A71))</f>
        <v>TRX0097</v>
      </c>
      <c r="B71" s="3">
        <f>Raw_Data!B71</f>
        <v>45487</v>
      </c>
      <c r="C71" s="2" t="str">
        <f>UPPER(TRIM(Raw_Data!C71))</f>
        <v>CUST033</v>
      </c>
      <c r="D71" s="2" t="str">
        <f>PROPER(TRIM(Raw_Data!D71))</f>
        <v>Frank Torres</v>
      </c>
      <c r="E71" s="2" t="str">
        <f>UPPER(TRIM(Raw_Data!E71))</f>
        <v>P006</v>
      </c>
      <c r="F71" s="2" t="str">
        <f>PROPER(TRIM(Raw_Data!F71))</f>
        <v>Office Chair</v>
      </c>
      <c r="G71" s="2" t="str">
        <f>PROPER(TRIM(Raw_Data!G71))</f>
        <v>Furniture</v>
      </c>
      <c r="H71" s="2">
        <f>Raw_Data!H71</f>
        <v>2</v>
      </c>
      <c r="I71" s="4">
        <f>Raw_Data!I71</f>
        <v>199.99</v>
      </c>
      <c r="J71" s="2" t="str">
        <f>PROPER(TRIM(Raw_Data!J71))</f>
        <v>Cash</v>
      </c>
      <c r="K71" s="2" t="str">
        <f>PROPER(TRIM(Raw_Data!K71))</f>
        <v>North</v>
      </c>
      <c r="L71" s="2" t="str">
        <f>PROPER(TRIM(Raw_Data!L71))</f>
        <v>Basic</v>
      </c>
      <c r="M71" s="3">
        <f>Raw_Data!M71</f>
        <v>44541</v>
      </c>
      <c r="N71" s="4">
        <f>Raw_Data!N71</f>
        <v>399.98</v>
      </c>
    </row>
    <row r="72" spans="1:14" ht="15" customHeight="1" x14ac:dyDescent="0.35">
      <c r="A72" s="2" t="str">
        <f>UPPER(TRIM(Raw_Data!A72))</f>
        <v>TRX0169</v>
      </c>
      <c r="B72" s="3">
        <f>Raw_Data!B72</f>
        <v>45490</v>
      </c>
      <c r="C72" s="2" t="str">
        <f>UPPER(TRIM(Raw_Data!C72))</f>
        <v>CUST047</v>
      </c>
      <c r="D72" s="2" t="str">
        <f>PROPER(TRIM(Raw_Data!D72))</f>
        <v>Gerald Murphy</v>
      </c>
      <c r="E72" s="2" t="str">
        <f>UPPER(TRIM(Raw_Data!E72))</f>
        <v>P005</v>
      </c>
      <c r="F72" s="2" t="str">
        <f>PROPER(TRIM(Raw_Data!F72))</f>
        <v>Blender</v>
      </c>
      <c r="G72" s="2" t="str">
        <f>PROPER(TRIM(Raw_Data!G72))</f>
        <v>Appliances</v>
      </c>
      <c r="H72" s="2">
        <f>Raw_Data!H72</f>
        <v>3</v>
      </c>
      <c r="I72" s="4">
        <f>Raw_Data!I72</f>
        <v>59.99</v>
      </c>
      <c r="J72" s="2" t="str">
        <f>PROPER(TRIM(Raw_Data!J72))</f>
        <v>Credit Card</v>
      </c>
      <c r="K72" s="2" t="str">
        <f>PROPER(TRIM(Raw_Data!K72))</f>
        <v>West</v>
      </c>
      <c r="L72" s="2" t="str">
        <f>PROPER(TRIM(Raw_Data!L72))</f>
        <v>Basic</v>
      </c>
      <c r="M72" s="3">
        <f>Raw_Data!M72</f>
        <v>45130</v>
      </c>
      <c r="N72" s="4">
        <f>Raw_Data!N72</f>
        <v>179.97</v>
      </c>
    </row>
    <row r="73" spans="1:14" ht="15" customHeight="1" x14ac:dyDescent="0.35">
      <c r="A73" s="2" t="str">
        <f>UPPER(TRIM(Raw_Data!A73))</f>
        <v>TRX0216</v>
      </c>
      <c r="B73" s="3">
        <f>Raw_Data!B73</f>
        <v>45490</v>
      </c>
      <c r="C73" s="2" t="str">
        <f>UPPER(TRIM(Raw_Data!C73))</f>
        <v>CUST041</v>
      </c>
      <c r="D73" s="2" t="str">
        <f>PROPER(TRIM(Raw_Data!D73))</f>
        <v>Peter Richardson</v>
      </c>
      <c r="E73" s="2" t="str">
        <f>UPPER(TRIM(Raw_Data!E73))</f>
        <v>P008</v>
      </c>
      <c r="F73" s="2" t="str">
        <f>PROPER(TRIM(Raw_Data!F73))</f>
        <v>Bookshelf</v>
      </c>
      <c r="G73" s="2" t="str">
        <f>PROPER(TRIM(Raw_Data!G73))</f>
        <v>Furniture</v>
      </c>
      <c r="H73" s="2">
        <f>Raw_Data!H73</f>
        <v>3</v>
      </c>
      <c r="I73" s="4">
        <f>Raw_Data!I73</f>
        <v>149.99</v>
      </c>
      <c r="J73" s="2" t="str">
        <f>PROPER(TRIM(Raw_Data!J73))</f>
        <v>Cash</v>
      </c>
      <c r="K73" s="2" t="str">
        <f>PROPER(TRIM(Raw_Data!K73))</f>
        <v>Central</v>
      </c>
      <c r="L73" s="2" t="str">
        <f>PROPER(TRIM(Raw_Data!L73))</f>
        <v>Premium</v>
      </c>
      <c r="M73" s="3">
        <f>Raw_Data!M73</f>
        <v>45199</v>
      </c>
      <c r="N73" s="4">
        <f>Raw_Data!N73</f>
        <v>449.97</v>
      </c>
    </row>
    <row r="74" spans="1:14" ht="15" customHeight="1" x14ac:dyDescent="0.35">
      <c r="A74" s="2" t="str">
        <f>UPPER(TRIM(Raw_Data!A74))</f>
        <v>TRX0131</v>
      </c>
      <c r="B74" s="3">
        <f>Raw_Data!B74</f>
        <v>45491</v>
      </c>
      <c r="C74" s="2" t="str">
        <f>UPPER(TRIM(Raw_Data!C74))</f>
        <v>CUST026</v>
      </c>
      <c r="D74" s="2" t="str">
        <f>PROPER(TRIM(Raw_Data!D74))</f>
        <v>Karen Hill</v>
      </c>
      <c r="E74" s="2" t="str">
        <f>UPPER(TRIM(Raw_Data!E74))</f>
        <v>P006</v>
      </c>
      <c r="F74" s="2" t="str">
        <f>PROPER(TRIM(Raw_Data!F74))</f>
        <v>Office Chair</v>
      </c>
      <c r="G74" s="2" t="str">
        <f>PROPER(TRIM(Raw_Data!G74))</f>
        <v>Furniture</v>
      </c>
      <c r="H74" s="2">
        <f>Raw_Data!H74</f>
        <v>3</v>
      </c>
      <c r="I74" s="4">
        <f>Raw_Data!I74</f>
        <v>199.99</v>
      </c>
      <c r="J74" s="2" t="str">
        <f>PROPER(TRIM(Raw_Data!J74))</f>
        <v>Cash</v>
      </c>
      <c r="K74" s="2" t="str">
        <f>PROPER(TRIM(Raw_Data!K74))</f>
        <v>North</v>
      </c>
      <c r="L74" s="2" t="str">
        <f>PROPER(TRIM(Raw_Data!L74))</f>
        <v>Premium</v>
      </c>
      <c r="M74" s="3">
        <f>Raw_Data!M74</f>
        <v>45254</v>
      </c>
      <c r="N74" s="4">
        <f>Raw_Data!N74</f>
        <v>599.97</v>
      </c>
    </row>
    <row r="75" spans="1:14" ht="15" customHeight="1" x14ac:dyDescent="0.35">
      <c r="A75" s="2" t="str">
        <f>UPPER(TRIM(Raw_Data!A75))</f>
        <v>TRX0162</v>
      </c>
      <c r="B75" s="3">
        <f>Raw_Data!B75</f>
        <v>45496</v>
      </c>
      <c r="C75" s="2" t="str">
        <f>UPPER(TRIM(Raw_Data!C75))</f>
        <v>CUST040</v>
      </c>
      <c r="D75" s="2" t="str">
        <f>PROPER(TRIM(Raw_Data!D75))</f>
        <v>Sharon Butler</v>
      </c>
      <c r="E75" s="2" t="str">
        <f>UPPER(TRIM(Raw_Data!E75))</f>
        <v>P001</v>
      </c>
      <c r="F75" s="2" t="str">
        <f>PROPER(TRIM(Raw_Data!F75))</f>
        <v>Laptop</v>
      </c>
      <c r="G75" s="2" t="str">
        <f>PROPER(TRIM(Raw_Data!G75))</f>
        <v>Electronics</v>
      </c>
      <c r="H75" s="2">
        <f>Raw_Data!H75</f>
        <v>1</v>
      </c>
      <c r="I75" s="4">
        <f>Raw_Data!I75</f>
        <v>899.99</v>
      </c>
      <c r="J75" s="2" t="str">
        <f>PROPER(TRIM(Raw_Data!J75))</f>
        <v>Cash</v>
      </c>
      <c r="K75" s="2" t="str">
        <f>PROPER(TRIM(Raw_Data!K75))</f>
        <v>Central</v>
      </c>
      <c r="L75" s="2" t="str">
        <f>PROPER(TRIM(Raw_Data!L75))</f>
        <v>Standard</v>
      </c>
      <c r="M75" s="3">
        <f>Raw_Data!M75</f>
        <v>45179</v>
      </c>
      <c r="N75" s="4">
        <f>Raw_Data!N75</f>
        <v>899.99</v>
      </c>
    </row>
    <row r="76" spans="1:14" ht="15" customHeight="1" x14ac:dyDescent="0.35">
      <c r="A76" s="2" t="str">
        <f>UPPER(TRIM(Raw_Data!A76))</f>
        <v>TRX0244</v>
      </c>
      <c r="B76" s="3">
        <f>Raw_Data!B76</f>
        <v>45497</v>
      </c>
      <c r="C76" s="2" t="str">
        <f>UPPER(TRIM(Raw_Data!C76))</f>
        <v>CUST013</v>
      </c>
      <c r="D76" s="2" t="str">
        <f>PROPER(TRIM(Raw_Data!D76))</f>
        <v>Joseph Jackson</v>
      </c>
      <c r="E76" s="2" t="str">
        <f>UPPER(TRIM(Raw_Data!E76))</f>
        <v>P001</v>
      </c>
      <c r="F76" s="2" t="str">
        <f>PROPER(TRIM(Raw_Data!F76))</f>
        <v>Laptop</v>
      </c>
      <c r="G76" s="2" t="str">
        <f>PROPER(TRIM(Raw_Data!G76))</f>
        <v>Electronics</v>
      </c>
      <c r="H76" s="2">
        <f>Raw_Data!H76</f>
        <v>5</v>
      </c>
      <c r="I76" s="4">
        <f>Raw_Data!I76</f>
        <v>899.99</v>
      </c>
      <c r="J76" s="2" t="str">
        <f>PROPER(TRIM(Raw_Data!J76))</f>
        <v>Debit Card</v>
      </c>
      <c r="K76" s="2" t="str">
        <f>PROPER(TRIM(Raw_Data!K76))</f>
        <v>South</v>
      </c>
      <c r="L76" s="2" t="str">
        <f>PROPER(TRIM(Raw_Data!L76))</f>
        <v>Standard</v>
      </c>
      <c r="M76" s="3">
        <f>Raw_Data!M76</f>
        <v>44899</v>
      </c>
      <c r="N76" s="4">
        <f>Raw_Data!N76</f>
        <v>4499.95</v>
      </c>
    </row>
    <row r="77" spans="1:14" ht="15" customHeight="1" x14ac:dyDescent="0.35">
      <c r="A77" s="2" t="str">
        <f>UPPER(TRIM(Raw_Data!A77))</f>
        <v>TRX0006</v>
      </c>
      <c r="B77" s="3">
        <f>Raw_Data!B77</f>
        <v>45498</v>
      </c>
      <c r="C77" s="2" t="str">
        <f>UPPER(TRIM(Raw_Data!C77))</f>
        <v>CUST007</v>
      </c>
      <c r="D77" s="2" t="str">
        <f>PROPER(TRIM(Raw_Data!D77))</f>
        <v>David Martinez</v>
      </c>
      <c r="E77" s="2" t="str">
        <f>UPPER(TRIM(Raw_Data!E77))</f>
        <v>P005</v>
      </c>
      <c r="F77" s="2" t="str">
        <f>PROPER(TRIM(Raw_Data!F77))</f>
        <v>Blender</v>
      </c>
      <c r="G77" s="2" t="str">
        <f>PROPER(TRIM(Raw_Data!G77))</f>
        <v>Appliances</v>
      </c>
      <c r="H77" s="2">
        <f>Raw_Data!H77</f>
        <v>2</v>
      </c>
      <c r="I77" s="4">
        <f>Raw_Data!I77</f>
        <v>59.99</v>
      </c>
      <c r="J77" s="2" t="str">
        <f>PROPER(TRIM(Raw_Data!J77))</f>
        <v>Cash</v>
      </c>
      <c r="K77" s="2" t="str">
        <f>PROPER(TRIM(Raw_Data!K77))</f>
        <v>North</v>
      </c>
      <c r="L77" s="2" t="str">
        <f>PROPER(TRIM(Raw_Data!L77))</f>
        <v>Standard</v>
      </c>
      <c r="M77" s="3">
        <f>Raw_Data!M77</f>
        <v>45152</v>
      </c>
      <c r="N77" s="4">
        <f>Raw_Data!N77</f>
        <v>119.98</v>
      </c>
    </row>
    <row r="78" spans="1:14" ht="15" customHeight="1" x14ac:dyDescent="0.35">
      <c r="A78" s="2" t="str">
        <f>UPPER(TRIM(Raw_Data!A78))</f>
        <v>TRX0215</v>
      </c>
      <c r="B78" s="3">
        <f>Raw_Data!B78</f>
        <v>45498</v>
      </c>
      <c r="C78" s="2" t="str">
        <f>UPPER(TRIM(Raw_Data!C78))</f>
        <v>CUST047</v>
      </c>
      <c r="D78" s="2" t="str">
        <f>PROPER(TRIM(Raw_Data!D78))</f>
        <v>Gerald Murphy</v>
      </c>
      <c r="E78" s="2" t="str">
        <f>UPPER(TRIM(Raw_Data!E78))</f>
        <v>P009</v>
      </c>
      <c r="F78" s="2" t="str">
        <f>PROPER(TRIM(Raw_Data!F78))</f>
        <v>Monitor</v>
      </c>
      <c r="G78" s="2" t="str">
        <f>PROPER(TRIM(Raw_Data!G78))</f>
        <v>Electronics</v>
      </c>
      <c r="H78" s="2">
        <f>Raw_Data!H78</f>
        <v>4</v>
      </c>
      <c r="I78" s="4">
        <f>Raw_Data!I78</f>
        <v>249.99</v>
      </c>
      <c r="J78" s="2" t="str">
        <f>PROPER(TRIM(Raw_Data!J78))</f>
        <v>Debit Card</v>
      </c>
      <c r="K78" s="2" t="str">
        <f>PROPER(TRIM(Raw_Data!K78))</f>
        <v>Central</v>
      </c>
      <c r="L78" s="2" t="str">
        <f>PROPER(TRIM(Raw_Data!L78))</f>
        <v>Standard</v>
      </c>
      <c r="M78" s="3">
        <f>Raw_Data!M78</f>
        <v>45127</v>
      </c>
      <c r="N78" s="4">
        <f>Raw_Data!N78</f>
        <v>999.96</v>
      </c>
    </row>
    <row r="79" spans="1:14" ht="15" customHeight="1" x14ac:dyDescent="0.35">
      <c r="A79" s="2" t="str">
        <f>UPPER(TRIM(Raw_Data!A79))</f>
        <v>TRX0080</v>
      </c>
      <c r="B79" s="3">
        <f>Raw_Data!B79</f>
        <v>45500</v>
      </c>
      <c r="C79" s="2" t="str">
        <f>UPPER(TRIM(Raw_Data!C79))</f>
        <v>CUST018</v>
      </c>
      <c r="D79" s="2" t="str">
        <f>PROPER(TRIM(Raw_Data!D79))</f>
        <v>Barbara Young</v>
      </c>
      <c r="E79" s="2" t="str">
        <f>UPPER(TRIM(Raw_Data!E79))</f>
        <v>P009</v>
      </c>
      <c r="F79" s="2" t="str">
        <f>PROPER(TRIM(Raw_Data!F79))</f>
        <v>Monitor</v>
      </c>
      <c r="G79" s="2" t="str">
        <f>PROPER(TRIM(Raw_Data!G79))</f>
        <v>Electronics</v>
      </c>
      <c r="H79" s="2">
        <f>Raw_Data!H79</f>
        <v>2</v>
      </c>
      <c r="I79" s="4">
        <f>Raw_Data!I79</f>
        <v>249.99</v>
      </c>
      <c r="J79" s="2" t="str">
        <f>PROPER(TRIM(Raw_Data!J79))</f>
        <v>Cash</v>
      </c>
      <c r="K79" s="2" t="str">
        <f>PROPER(TRIM(Raw_Data!K79))</f>
        <v>North</v>
      </c>
      <c r="L79" s="2" t="str">
        <f>PROPER(TRIM(Raw_Data!L79))</f>
        <v>Premium</v>
      </c>
      <c r="M79" s="3">
        <f>Raw_Data!M79</f>
        <v>45164</v>
      </c>
      <c r="N79" s="4">
        <f>Raw_Data!N79</f>
        <v>499.98</v>
      </c>
    </row>
    <row r="80" spans="1:14" ht="15" customHeight="1" x14ac:dyDescent="0.35">
      <c r="A80" s="2" t="str">
        <f>UPPER(TRIM(Raw_Data!A80))</f>
        <v>TRX0228</v>
      </c>
      <c r="B80" s="3">
        <f>Raw_Data!B80</f>
        <v>45500</v>
      </c>
      <c r="C80" s="2" t="str">
        <f>UPPER(TRIM(Raw_Data!C80))</f>
        <v>CUST019</v>
      </c>
      <c r="D80" s="2" t="str">
        <f>PROPER(TRIM(Raw_Data!D80))</f>
        <v>Daniel King</v>
      </c>
      <c r="E80" s="2" t="str">
        <f>UPPER(TRIM(Raw_Data!E80))</f>
        <v>P007</v>
      </c>
      <c r="F80" s="2" t="str">
        <f>PROPER(TRIM(Raw_Data!F80))</f>
        <v>Desk</v>
      </c>
      <c r="G80" s="2" t="str">
        <f>PROPER(TRIM(Raw_Data!G80))</f>
        <v>Furniture</v>
      </c>
      <c r="H80" s="2">
        <f>Raw_Data!H80</f>
        <v>1</v>
      </c>
      <c r="I80" s="4">
        <f>Raw_Data!I80</f>
        <v>299.99</v>
      </c>
      <c r="J80" s="2" t="str">
        <f>PROPER(TRIM(Raw_Data!J80))</f>
        <v>Cash</v>
      </c>
      <c r="K80" s="2" t="str">
        <f>PROPER(TRIM(Raw_Data!K80))</f>
        <v>South</v>
      </c>
      <c r="L80" s="2" t="str">
        <f>PROPER(TRIM(Raw_Data!L80))</f>
        <v>Basic</v>
      </c>
      <c r="M80" s="3">
        <f>Raw_Data!M80</f>
        <v>44982</v>
      </c>
      <c r="N80" s="4">
        <f>Raw_Data!N80</f>
        <v>299.99</v>
      </c>
    </row>
    <row r="81" spans="1:14" ht="15" customHeight="1" x14ac:dyDescent="0.35">
      <c r="A81" s="2" t="str">
        <f>UPPER(TRIM(Raw_Data!A81))</f>
        <v>TRX0157</v>
      </c>
      <c r="B81" s="3">
        <f>Raw_Data!B81</f>
        <v>45501</v>
      </c>
      <c r="C81" s="2" t="str">
        <f>UPPER(TRIM(Raw_Data!C81))</f>
        <v>CUST025</v>
      </c>
      <c r="D81" s="2" t="str">
        <f>PROPER(TRIM(Raw_Data!D81))</f>
        <v>Mark Carter</v>
      </c>
      <c r="E81" s="2" t="str">
        <f>UPPER(TRIM(Raw_Data!E81))</f>
        <v>P010</v>
      </c>
      <c r="F81" s="2" t="str">
        <f>PROPER(TRIM(Raw_Data!F81))</f>
        <v>Keyboard</v>
      </c>
      <c r="G81" s="2" t="str">
        <f>PROPER(TRIM(Raw_Data!G81))</f>
        <v>Electronics</v>
      </c>
      <c r="H81" s="2">
        <f>Raw_Data!H81</f>
        <v>2</v>
      </c>
      <c r="I81" s="4">
        <f>Raw_Data!I81</f>
        <v>89.99</v>
      </c>
      <c r="J81" s="2" t="str">
        <f>PROPER(TRIM(Raw_Data!J81))</f>
        <v>Paypal</v>
      </c>
      <c r="K81" s="2" t="str">
        <f>PROPER(TRIM(Raw_Data!K81))</f>
        <v>South</v>
      </c>
      <c r="L81" s="2" t="str">
        <f>PROPER(TRIM(Raw_Data!L81))</f>
        <v>Basic</v>
      </c>
      <c r="M81" s="3">
        <f>Raw_Data!M81</f>
        <v>44976</v>
      </c>
      <c r="N81" s="4">
        <f>Raw_Data!N81</f>
        <v>179.98</v>
      </c>
    </row>
    <row r="82" spans="1:14" ht="15" customHeight="1" x14ac:dyDescent="0.35">
      <c r="A82" s="2" t="str">
        <f>UPPER(TRIM(Raw_Data!A82))</f>
        <v>TRX0002</v>
      </c>
      <c r="B82" s="3">
        <f>Raw_Data!B82</f>
        <v>45501</v>
      </c>
      <c r="C82" s="2" t="str">
        <f>UPPER(TRIM(Raw_Data!C82))</f>
        <v>CUST019</v>
      </c>
      <c r="D82" s="2" t="str">
        <f>PROPER(TRIM(Raw_Data!D82))</f>
        <v>Daniel King</v>
      </c>
      <c r="E82" s="2" t="str">
        <f>UPPER(TRIM(Raw_Data!E82))</f>
        <v>P007</v>
      </c>
      <c r="F82" s="2" t="str">
        <f>PROPER(TRIM(Raw_Data!F82))</f>
        <v>Desk</v>
      </c>
      <c r="G82" s="2" t="str">
        <f>PROPER(TRIM(Raw_Data!G82))</f>
        <v>Furniture</v>
      </c>
      <c r="H82" s="2">
        <f>Raw_Data!H82</f>
        <v>3</v>
      </c>
      <c r="I82" s="4">
        <f>Raw_Data!I82</f>
        <v>299.99</v>
      </c>
      <c r="J82" s="2" t="str">
        <f>PROPER(TRIM(Raw_Data!J82))</f>
        <v>Cash</v>
      </c>
      <c r="K82" s="2" t="str">
        <f>PROPER(TRIM(Raw_Data!K82))</f>
        <v>Central</v>
      </c>
      <c r="L82" s="2" t="str">
        <f>PROPER(TRIM(Raw_Data!L82))</f>
        <v>Basic</v>
      </c>
      <c r="M82" s="3">
        <f>Raw_Data!M82</f>
        <v>44732</v>
      </c>
      <c r="N82" s="4">
        <f>Raw_Data!N82</f>
        <v>899.97</v>
      </c>
    </row>
    <row r="83" spans="1:14" ht="15" customHeight="1" x14ac:dyDescent="0.35">
      <c r="A83" s="2" t="str">
        <f>UPPER(TRIM(Raw_Data!A83))</f>
        <v>TRX0217</v>
      </c>
      <c r="B83" s="3">
        <f>Raw_Data!B83</f>
        <v>45503</v>
      </c>
      <c r="C83" s="2" t="str">
        <f>UPPER(TRIM(Raw_Data!C83))</f>
        <v>CUST025</v>
      </c>
      <c r="D83" s="2" t="str">
        <f>PROPER(TRIM(Raw_Data!D83))</f>
        <v>Mark Carter</v>
      </c>
      <c r="E83" s="2" t="str">
        <f>UPPER(TRIM(Raw_Data!E83))</f>
        <v>P002</v>
      </c>
      <c r="F83" s="2" t="str">
        <f>PROPER(TRIM(Raw_Data!F83))</f>
        <v>Smartphone</v>
      </c>
      <c r="G83" s="2" t="str">
        <f>PROPER(TRIM(Raw_Data!G83))</f>
        <v>Electronics</v>
      </c>
      <c r="H83" s="2">
        <f>Raw_Data!H83</f>
        <v>2</v>
      </c>
      <c r="I83" s="4">
        <f>Raw_Data!I83</f>
        <v>699.99</v>
      </c>
      <c r="J83" s="2" t="str">
        <f>PROPER(TRIM(Raw_Data!J83))</f>
        <v>Credit Card</v>
      </c>
      <c r="K83" s="2" t="str">
        <f>PROPER(TRIM(Raw_Data!K83))</f>
        <v>North</v>
      </c>
      <c r="L83" s="2" t="str">
        <f>PROPER(TRIM(Raw_Data!L83))</f>
        <v>Premium</v>
      </c>
      <c r="M83" s="3">
        <f>Raw_Data!M83</f>
        <v>44999</v>
      </c>
      <c r="N83" s="4">
        <f>Raw_Data!N83</f>
        <v>1399.98</v>
      </c>
    </row>
    <row r="84" spans="1:14" ht="15" customHeight="1" x14ac:dyDescent="0.35">
      <c r="A84" s="2" t="str">
        <f>UPPER(TRIM(Raw_Data!A84))</f>
        <v>TRX0249</v>
      </c>
      <c r="B84" s="3">
        <f>Raw_Data!B84</f>
        <v>45504</v>
      </c>
      <c r="C84" s="2" t="str">
        <f>UPPER(TRIM(Raw_Data!C84))</f>
        <v>CUST030</v>
      </c>
      <c r="D84" s="2" t="str">
        <f>PROPER(TRIM(Raw_Data!D84))</f>
        <v>Helen Roberts</v>
      </c>
      <c r="E84" s="2" t="str">
        <f>UPPER(TRIM(Raw_Data!E84))</f>
        <v>P001</v>
      </c>
      <c r="F84" s="2" t="str">
        <f>PROPER(TRIM(Raw_Data!F84))</f>
        <v>Laptop</v>
      </c>
      <c r="G84" s="2" t="str">
        <f>PROPER(TRIM(Raw_Data!G84))</f>
        <v>Electronics</v>
      </c>
      <c r="H84" s="2">
        <f>Raw_Data!H84</f>
        <v>4</v>
      </c>
      <c r="I84" s="4">
        <f>Raw_Data!I84</f>
        <v>899.99</v>
      </c>
      <c r="J84" s="2" t="str">
        <f>PROPER(TRIM(Raw_Data!J84))</f>
        <v>Debit Card</v>
      </c>
      <c r="K84" s="2" t="str">
        <f>PROPER(TRIM(Raw_Data!K84))</f>
        <v>South</v>
      </c>
      <c r="L84" s="2" t="str">
        <f>PROPER(TRIM(Raw_Data!L84))</f>
        <v>Standard</v>
      </c>
      <c r="M84" s="3">
        <f>Raw_Data!M84</f>
        <v>44523</v>
      </c>
      <c r="N84" s="4">
        <f>Raw_Data!N84</f>
        <v>3599.96</v>
      </c>
    </row>
    <row r="85" spans="1:14" ht="15" customHeight="1" x14ac:dyDescent="0.35">
      <c r="A85" s="2" t="str">
        <f>UPPER(TRIM(Raw_Data!A85))</f>
        <v>TRX0065</v>
      </c>
      <c r="B85" s="3">
        <f>Raw_Data!B85</f>
        <v>45509</v>
      </c>
      <c r="C85" s="2" t="str">
        <f>UPPER(TRIM(Raw_Data!C85))</f>
        <v>CUST016</v>
      </c>
      <c r="D85" s="2" t="str">
        <f>PROPER(TRIM(Raw_Data!D85))</f>
        <v>Elizabeth Hall</v>
      </c>
      <c r="E85" s="2" t="str">
        <f>UPPER(TRIM(Raw_Data!E85))</f>
        <v>P008</v>
      </c>
      <c r="F85" s="2" t="str">
        <f>PROPER(TRIM(Raw_Data!F85))</f>
        <v>Bookshelf</v>
      </c>
      <c r="G85" s="2" t="str">
        <f>PROPER(TRIM(Raw_Data!G85))</f>
        <v>Furniture</v>
      </c>
      <c r="H85" s="2">
        <f>Raw_Data!H85</f>
        <v>2</v>
      </c>
      <c r="I85" s="4">
        <f>Raw_Data!I85</f>
        <v>149.99</v>
      </c>
      <c r="J85" s="2" t="str">
        <f>PROPER(TRIM(Raw_Data!J85))</f>
        <v>Credit Card</v>
      </c>
      <c r="K85" s="2" t="str">
        <f>PROPER(TRIM(Raw_Data!K85))</f>
        <v>West</v>
      </c>
      <c r="L85" s="2" t="str">
        <f>PROPER(TRIM(Raw_Data!L85))</f>
        <v>Basic</v>
      </c>
      <c r="M85" s="3">
        <f>Raw_Data!M85</f>
        <v>44542</v>
      </c>
      <c r="N85" s="4">
        <f>Raw_Data!N85</f>
        <v>299.98</v>
      </c>
    </row>
    <row r="86" spans="1:14" ht="15" customHeight="1" x14ac:dyDescent="0.35">
      <c r="A86" s="2" t="str">
        <f>UPPER(TRIM(Raw_Data!A86))</f>
        <v>TRX0176</v>
      </c>
      <c r="B86" s="3">
        <f>Raw_Data!B86</f>
        <v>45510</v>
      </c>
      <c r="C86" s="2" t="str">
        <f>UPPER(TRIM(Raw_Data!C86))</f>
        <v>CUST044</v>
      </c>
      <c r="D86" s="2" t="str">
        <f>PROPER(TRIM(Raw_Data!D86))</f>
        <v>Cynthia Price</v>
      </c>
      <c r="E86" s="2" t="str">
        <f>UPPER(TRIM(Raw_Data!E86))</f>
        <v>P008</v>
      </c>
      <c r="F86" s="2" t="str">
        <f>PROPER(TRIM(Raw_Data!F86))</f>
        <v>Bookshelf</v>
      </c>
      <c r="G86" s="2" t="str">
        <f>PROPER(TRIM(Raw_Data!G86))</f>
        <v>Furniture</v>
      </c>
      <c r="H86" s="2">
        <f>Raw_Data!H86</f>
        <v>2</v>
      </c>
      <c r="I86" s="4">
        <f>Raw_Data!I86</f>
        <v>149.99</v>
      </c>
      <c r="J86" s="2" t="str">
        <f>PROPER(TRIM(Raw_Data!J86))</f>
        <v>Debit Card</v>
      </c>
      <c r="K86" s="2" t="str">
        <f>PROPER(TRIM(Raw_Data!K86))</f>
        <v>East</v>
      </c>
      <c r="L86" s="2" t="str">
        <f>PROPER(TRIM(Raw_Data!L86))</f>
        <v>Standard</v>
      </c>
      <c r="M86" s="3">
        <f>Raw_Data!M86</f>
        <v>44667</v>
      </c>
      <c r="N86" s="4">
        <f>Raw_Data!N86</f>
        <v>299.98</v>
      </c>
    </row>
    <row r="87" spans="1:14" ht="15" customHeight="1" x14ac:dyDescent="0.35">
      <c r="A87" s="2" t="str">
        <f>UPPER(TRIM(Raw_Data!A87))</f>
        <v>TRX0101</v>
      </c>
      <c r="B87" s="3">
        <f>Raw_Data!B87</f>
        <v>45513</v>
      </c>
      <c r="C87" s="2" t="str">
        <f>UPPER(TRIM(Raw_Data!C87))</f>
        <v>CUST010</v>
      </c>
      <c r="D87" s="2" t="str">
        <f>PROPER(TRIM(Raw_Data!D87))</f>
        <v>Maria Garcia</v>
      </c>
      <c r="E87" s="2" t="str">
        <f>UPPER(TRIM(Raw_Data!E87))</f>
        <v>P010</v>
      </c>
      <c r="F87" s="2" t="str">
        <f>PROPER(TRIM(Raw_Data!F87))</f>
        <v>Keyboard</v>
      </c>
      <c r="G87" s="2" t="str">
        <f>PROPER(TRIM(Raw_Data!G87))</f>
        <v>Electronics</v>
      </c>
      <c r="H87" s="2">
        <f>Raw_Data!H87</f>
        <v>1</v>
      </c>
      <c r="I87" s="4">
        <f>Raw_Data!I87</f>
        <v>89.99</v>
      </c>
      <c r="J87" s="2" t="str">
        <f>PROPER(TRIM(Raw_Data!J87))</f>
        <v>Credit Card</v>
      </c>
      <c r="K87" s="2" t="str">
        <f>PROPER(TRIM(Raw_Data!K87))</f>
        <v>North</v>
      </c>
      <c r="L87" s="2" t="str">
        <f>PROPER(TRIM(Raw_Data!L87))</f>
        <v>Standard</v>
      </c>
      <c r="M87" s="3">
        <f>Raw_Data!M87</f>
        <v>45393</v>
      </c>
      <c r="N87" s="4">
        <f>Raw_Data!N87</f>
        <v>89.99</v>
      </c>
    </row>
    <row r="88" spans="1:14" ht="15" customHeight="1" x14ac:dyDescent="0.35">
      <c r="A88" s="2" t="str">
        <f>UPPER(TRIM(Raw_Data!A88))</f>
        <v>TRX0205</v>
      </c>
      <c r="B88" s="3">
        <f>Raw_Data!B88</f>
        <v>45515</v>
      </c>
      <c r="C88" s="2" t="str">
        <f>UPPER(TRIM(Raw_Data!C88))</f>
        <v>CUST025</v>
      </c>
      <c r="D88" s="2" t="str">
        <f>PROPER(TRIM(Raw_Data!D88))</f>
        <v>Mark Carter</v>
      </c>
      <c r="E88" s="2" t="str">
        <f>UPPER(TRIM(Raw_Data!E88))</f>
        <v>P007</v>
      </c>
      <c r="F88" s="2" t="str">
        <f>PROPER(TRIM(Raw_Data!F88))</f>
        <v>Desk</v>
      </c>
      <c r="G88" s="2" t="str">
        <f>PROPER(TRIM(Raw_Data!G88))</f>
        <v>Furniture</v>
      </c>
      <c r="H88" s="2">
        <f>Raw_Data!H88</f>
        <v>5</v>
      </c>
      <c r="I88" s="4">
        <f>Raw_Data!I88</f>
        <v>299.99</v>
      </c>
      <c r="J88" s="2" t="str">
        <f>PROPER(TRIM(Raw_Data!J88))</f>
        <v>Credit Card</v>
      </c>
      <c r="K88" s="2" t="str">
        <f>PROPER(TRIM(Raw_Data!K88))</f>
        <v>North</v>
      </c>
      <c r="L88" s="2" t="str">
        <f>PROPER(TRIM(Raw_Data!L88))</f>
        <v>Basic</v>
      </c>
      <c r="M88" s="3">
        <f>Raw_Data!M88</f>
        <v>44965</v>
      </c>
      <c r="N88" s="4">
        <f>Raw_Data!N88</f>
        <v>1499.95</v>
      </c>
    </row>
    <row r="89" spans="1:14" ht="15" customHeight="1" x14ac:dyDescent="0.35">
      <c r="A89" s="2" t="str">
        <f>UPPER(TRIM(Raw_Data!A89))</f>
        <v>TRX0020</v>
      </c>
      <c r="B89" s="3">
        <f>Raw_Data!B89</f>
        <v>45517</v>
      </c>
      <c r="C89" s="2" t="str">
        <f>UPPER(TRIM(Raw_Data!C89))</f>
        <v>CUST007</v>
      </c>
      <c r="D89" s="2" t="str">
        <f>PROPER(TRIM(Raw_Data!D89))</f>
        <v>David Martinez</v>
      </c>
      <c r="E89" s="2" t="str">
        <f>UPPER(TRIM(Raw_Data!E89))</f>
        <v>P003</v>
      </c>
      <c r="F89" s="2" t="str">
        <f>PROPER(TRIM(Raw_Data!F89))</f>
        <v>Headphones</v>
      </c>
      <c r="G89" s="2" t="str">
        <f>PROPER(TRIM(Raw_Data!G89))</f>
        <v>Electronics</v>
      </c>
      <c r="H89" s="2">
        <f>Raw_Data!H89</f>
        <v>4</v>
      </c>
      <c r="I89" s="4">
        <f>Raw_Data!I89</f>
        <v>149.99</v>
      </c>
      <c r="J89" s="2" t="str">
        <f>PROPER(TRIM(Raw_Data!J89))</f>
        <v>Debit Card</v>
      </c>
      <c r="K89" s="2" t="str">
        <f>PROPER(TRIM(Raw_Data!K89))</f>
        <v>South</v>
      </c>
      <c r="L89" s="2" t="str">
        <f>PROPER(TRIM(Raw_Data!L89))</f>
        <v>Premium</v>
      </c>
      <c r="M89" s="3">
        <f>Raw_Data!M89</f>
        <v>44820</v>
      </c>
      <c r="N89" s="4">
        <f>Raw_Data!N89</f>
        <v>599.96</v>
      </c>
    </row>
    <row r="90" spans="1:14" ht="15" customHeight="1" x14ac:dyDescent="0.35">
      <c r="A90" s="2" t="str">
        <f>UPPER(TRIM(Raw_Data!A90))</f>
        <v>TRX0075</v>
      </c>
      <c r="B90" s="3">
        <f>Raw_Data!B90</f>
        <v>45517</v>
      </c>
      <c r="C90" s="2" t="str">
        <f>UPPER(TRIM(Raw_Data!C90))</f>
        <v>CUST020</v>
      </c>
      <c r="D90" s="2" t="str">
        <f>PROPER(TRIM(Raw_Data!D90))</f>
        <v>Margaret Wright</v>
      </c>
      <c r="E90" s="2" t="str">
        <f>UPPER(TRIM(Raw_Data!E90))</f>
        <v>P009</v>
      </c>
      <c r="F90" s="2" t="str">
        <f>PROPER(TRIM(Raw_Data!F90))</f>
        <v>Monitor</v>
      </c>
      <c r="G90" s="2" t="str">
        <f>PROPER(TRIM(Raw_Data!G90))</f>
        <v>Electronics</v>
      </c>
      <c r="H90" s="2">
        <f>Raw_Data!H90</f>
        <v>5</v>
      </c>
      <c r="I90" s="4">
        <f>Raw_Data!I90</f>
        <v>249.99</v>
      </c>
      <c r="J90" s="2" t="str">
        <f>PROPER(TRIM(Raw_Data!J90))</f>
        <v>Paypal</v>
      </c>
      <c r="K90" s="2" t="str">
        <f>PROPER(TRIM(Raw_Data!K90))</f>
        <v>East</v>
      </c>
      <c r="L90" s="2" t="str">
        <f>PROPER(TRIM(Raw_Data!L90))</f>
        <v>Premium</v>
      </c>
      <c r="M90" s="3">
        <f>Raw_Data!M90</f>
        <v>44782</v>
      </c>
      <c r="N90" s="4">
        <f>Raw_Data!N90</f>
        <v>1249.95</v>
      </c>
    </row>
    <row r="91" spans="1:14" ht="15" customHeight="1" x14ac:dyDescent="0.35">
      <c r="A91" s="2" t="str">
        <f>UPPER(TRIM(Raw_Data!A91))</f>
        <v>TRX0098</v>
      </c>
      <c r="B91" s="3">
        <f>Raw_Data!B91</f>
        <v>45517</v>
      </c>
      <c r="C91" s="2" t="str">
        <f>UPPER(TRIM(Raw_Data!C91))</f>
        <v>CUST026</v>
      </c>
      <c r="D91" s="2" t="str">
        <f>PROPER(TRIM(Raw_Data!D91))</f>
        <v>Karen Hill</v>
      </c>
      <c r="E91" s="2" t="str">
        <f>UPPER(TRIM(Raw_Data!E91))</f>
        <v>P009</v>
      </c>
      <c r="F91" s="2" t="str">
        <f>PROPER(TRIM(Raw_Data!F91))</f>
        <v>Monitor</v>
      </c>
      <c r="G91" s="2" t="str">
        <f>PROPER(TRIM(Raw_Data!G91))</f>
        <v>Electronics</v>
      </c>
      <c r="H91" s="2">
        <f>Raw_Data!H91</f>
        <v>3</v>
      </c>
      <c r="I91" s="4">
        <f>Raw_Data!I91</f>
        <v>249.99</v>
      </c>
      <c r="J91" s="2" t="str">
        <f>PROPER(TRIM(Raw_Data!J91))</f>
        <v>Paypal</v>
      </c>
      <c r="K91" s="2" t="str">
        <f>PROPER(TRIM(Raw_Data!K91))</f>
        <v>North</v>
      </c>
      <c r="L91" s="2" t="str">
        <f>PROPER(TRIM(Raw_Data!L91))</f>
        <v>Premium</v>
      </c>
      <c r="M91" s="3">
        <f>Raw_Data!M91</f>
        <v>44465</v>
      </c>
      <c r="N91" s="4">
        <f>Raw_Data!N91</f>
        <v>749.97</v>
      </c>
    </row>
    <row r="92" spans="1:14" ht="15" customHeight="1" x14ac:dyDescent="0.35">
      <c r="A92" s="2" t="str">
        <f>UPPER(TRIM(Raw_Data!A92))</f>
        <v>TRX0247</v>
      </c>
      <c r="B92" s="3">
        <f>Raw_Data!B92</f>
        <v>45517</v>
      </c>
      <c r="C92" s="2" t="str">
        <f>UPPER(TRIM(Raw_Data!C92))</f>
        <v>CUST046</v>
      </c>
      <c r="D92" s="2" t="str">
        <f>PROPER(TRIM(Raw_Data!D92))</f>
        <v>Kathleen Bennett</v>
      </c>
      <c r="E92" s="2" t="str">
        <f>UPPER(TRIM(Raw_Data!E92))</f>
        <v>P006</v>
      </c>
      <c r="F92" s="2" t="str">
        <f>PROPER(TRIM(Raw_Data!F92))</f>
        <v>Office Chair</v>
      </c>
      <c r="G92" s="2" t="str">
        <f>PROPER(TRIM(Raw_Data!G92))</f>
        <v>Furniture</v>
      </c>
      <c r="H92" s="2">
        <f>Raw_Data!H92</f>
        <v>4</v>
      </c>
      <c r="I92" s="4">
        <f>Raw_Data!I92</f>
        <v>199.99</v>
      </c>
      <c r="J92" s="2" t="str">
        <f>PROPER(TRIM(Raw_Data!J92))</f>
        <v>Cash</v>
      </c>
      <c r="K92" s="2" t="str">
        <f>PROPER(TRIM(Raw_Data!K92))</f>
        <v>North</v>
      </c>
      <c r="L92" s="2" t="str">
        <f>PROPER(TRIM(Raw_Data!L92))</f>
        <v>Standard</v>
      </c>
      <c r="M92" s="3">
        <f>Raw_Data!M92</f>
        <v>44458</v>
      </c>
      <c r="N92" s="4">
        <f>Raw_Data!N92</f>
        <v>799.96</v>
      </c>
    </row>
    <row r="93" spans="1:14" ht="15" customHeight="1" x14ac:dyDescent="0.35">
      <c r="A93" s="2" t="str">
        <f>UPPER(TRIM(Raw_Data!A93))</f>
        <v>TRX0027</v>
      </c>
      <c r="B93" s="3">
        <f>Raw_Data!B93</f>
        <v>45519</v>
      </c>
      <c r="C93" s="2" t="str">
        <f>UPPER(TRIM(Raw_Data!C93))</f>
        <v>CUST028</v>
      </c>
      <c r="D93" s="2" t="str">
        <f>PROPER(TRIM(Raw_Data!D93))</f>
        <v>Betty Campbell</v>
      </c>
      <c r="E93" s="2" t="str">
        <f>UPPER(TRIM(Raw_Data!E93))</f>
        <v>P006</v>
      </c>
      <c r="F93" s="2" t="str">
        <f>PROPER(TRIM(Raw_Data!F93))</f>
        <v>Office Chair</v>
      </c>
      <c r="G93" s="2" t="str">
        <f>PROPER(TRIM(Raw_Data!G93))</f>
        <v>Furniture</v>
      </c>
      <c r="H93" s="2">
        <f>Raw_Data!H93</f>
        <v>5</v>
      </c>
      <c r="I93" s="4">
        <f>Raw_Data!I93</f>
        <v>199.99</v>
      </c>
      <c r="J93" s="2" t="str">
        <f>PROPER(TRIM(Raw_Data!J93))</f>
        <v>Cash</v>
      </c>
      <c r="K93" s="2" t="str">
        <f>PROPER(TRIM(Raw_Data!K93))</f>
        <v>North</v>
      </c>
      <c r="L93" s="2" t="str">
        <f>PROPER(TRIM(Raw_Data!L93))</f>
        <v>Premium</v>
      </c>
      <c r="M93" s="3">
        <f>Raw_Data!M93</f>
        <v>44991</v>
      </c>
      <c r="N93" s="4">
        <f>Raw_Data!N93</f>
        <v>999.95</v>
      </c>
    </row>
    <row r="94" spans="1:14" ht="15" customHeight="1" x14ac:dyDescent="0.35">
      <c r="A94" s="2" t="str">
        <f>UPPER(TRIM(Raw_Data!A94))</f>
        <v>TRX0140</v>
      </c>
      <c r="B94" s="3">
        <f>Raw_Data!B94</f>
        <v>45522</v>
      </c>
      <c r="C94" s="2" t="str">
        <f>UPPER(TRIM(Raw_Data!C94))</f>
        <v>CUST025</v>
      </c>
      <c r="D94" s="2" t="str">
        <f>PROPER(TRIM(Raw_Data!D94))</f>
        <v>Mark Carter</v>
      </c>
      <c r="E94" s="2" t="str">
        <f>UPPER(TRIM(Raw_Data!E94))</f>
        <v>P010</v>
      </c>
      <c r="F94" s="2" t="str">
        <f>PROPER(TRIM(Raw_Data!F94))</f>
        <v>Keyboard</v>
      </c>
      <c r="G94" s="2" t="str">
        <f>PROPER(TRIM(Raw_Data!G94))</f>
        <v>Electronics</v>
      </c>
      <c r="H94" s="2">
        <f>Raw_Data!H94</f>
        <v>2</v>
      </c>
      <c r="I94" s="4">
        <f>Raw_Data!I94</f>
        <v>89.99</v>
      </c>
      <c r="J94" s="2" t="str">
        <f>PROPER(TRIM(Raw_Data!J94))</f>
        <v>Cash</v>
      </c>
      <c r="K94" s="2" t="str">
        <f>PROPER(TRIM(Raw_Data!K94))</f>
        <v>East</v>
      </c>
      <c r="L94" s="2" t="str">
        <f>PROPER(TRIM(Raw_Data!L94))</f>
        <v>Premium</v>
      </c>
      <c r="M94" s="3">
        <f>Raw_Data!M94</f>
        <v>44972</v>
      </c>
      <c r="N94" s="4">
        <f>Raw_Data!N94</f>
        <v>179.98</v>
      </c>
    </row>
    <row r="95" spans="1:14" ht="15" customHeight="1" x14ac:dyDescent="0.35">
      <c r="A95" s="2" t="str">
        <f>UPPER(TRIM(Raw_Data!A95))</f>
        <v>TRX0132</v>
      </c>
      <c r="B95" s="3">
        <f>Raw_Data!B95</f>
        <v>45523</v>
      </c>
      <c r="C95" s="2" t="str">
        <f>UPPER(TRIM(Raw_Data!C95))</f>
        <v>CUST047</v>
      </c>
      <c r="D95" s="2" t="str">
        <f>PROPER(TRIM(Raw_Data!D95))</f>
        <v>Gerald Murphy</v>
      </c>
      <c r="E95" s="2" t="str">
        <f>UPPER(TRIM(Raw_Data!E95))</f>
        <v>P001</v>
      </c>
      <c r="F95" s="2" t="str">
        <f>PROPER(TRIM(Raw_Data!F95))</f>
        <v>Laptop</v>
      </c>
      <c r="G95" s="2" t="str">
        <f>PROPER(TRIM(Raw_Data!G95))</f>
        <v>Electronics</v>
      </c>
      <c r="H95" s="2">
        <f>Raw_Data!H95</f>
        <v>5</v>
      </c>
      <c r="I95" s="4">
        <f>Raw_Data!I95</f>
        <v>899.99</v>
      </c>
      <c r="J95" s="2" t="str">
        <f>PROPER(TRIM(Raw_Data!J95))</f>
        <v>Debit Card</v>
      </c>
      <c r="K95" s="2" t="str">
        <f>PROPER(TRIM(Raw_Data!K95))</f>
        <v>East</v>
      </c>
      <c r="L95" s="2" t="str">
        <f>PROPER(TRIM(Raw_Data!L95))</f>
        <v>Basic</v>
      </c>
      <c r="M95" s="3">
        <f>Raw_Data!M95</f>
        <v>44526</v>
      </c>
      <c r="N95" s="4">
        <f>Raw_Data!N95</f>
        <v>4499.95</v>
      </c>
    </row>
    <row r="96" spans="1:14" ht="15" customHeight="1" x14ac:dyDescent="0.35">
      <c r="A96" s="2" t="str">
        <f>UPPER(TRIM(Raw_Data!A96))</f>
        <v>TRX0031</v>
      </c>
      <c r="B96" s="3">
        <f>Raw_Data!B96</f>
        <v>45523</v>
      </c>
      <c r="C96" s="2" t="str">
        <f>UPPER(TRIM(Raw_Data!C96))</f>
        <v>CUST036</v>
      </c>
      <c r="D96" s="2" t="str">
        <f>PROPER(TRIM(Raw_Data!D96))</f>
        <v>Nancy Collins</v>
      </c>
      <c r="E96" s="2" t="str">
        <f>UPPER(TRIM(Raw_Data!E96))</f>
        <v>P003</v>
      </c>
      <c r="F96" s="2" t="str">
        <f>PROPER(TRIM(Raw_Data!F96))</f>
        <v>Headphones</v>
      </c>
      <c r="G96" s="2" t="str">
        <f>PROPER(TRIM(Raw_Data!G96))</f>
        <v>Electronics</v>
      </c>
      <c r="H96" s="2">
        <f>Raw_Data!H96</f>
        <v>3</v>
      </c>
      <c r="I96" s="4">
        <f>Raw_Data!I96</f>
        <v>149.99</v>
      </c>
      <c r="J96" s="2" t="str">
        <f>PROPER(TRIM(Raw_Data!J96))</f>
        <v>Paypal</v>
      </c>
      <c r="K96" s="2" t="str">
        <f>PROPER(TRIM(Raw_Data!K96))</f>
        <v>East</v>
      </c>
      <c r="L96" s="2" t="str">
        <f>PROPER(TRIM(Raw_Data!L96))</f>
        <v>Basic</v>
      </c>
      <c r="M96" s="3">
        <f>Raw_Data!M96</f>
        <v>44574</v>
      </c>
      <c r="N96" s="4">
        <f>Raw_Data!N96</f>
        <v>449.97</v>
      </c>
    </row>
    <row r="97" spans="1:14" ht="15" customHeight="1" x14ac:dyDescent="0.35">
      <c r="A97" s="2" t="str">
        <f>UPPER(TRIM(Raw_Data!A97))</f>
        <v>TRX0236</v>
      </c>
      <c r="B97" s="3">
        <f>Raw_Data!B97</f>
        <v>45526</v>
      </c>
      <c r="C97" s="2" t="str">
        <f>UPPER(TRIM(Raw_Data!C97))</f>
        <v>CUST044</v>
      </c>
      <c r="D97" s="2" t="str">
        <f>PROPER(TRIM(Raw_Data!D97))</f>
        <v>Cynthia Price</v>
      </c>
      <c r="E97" s="2" t="str">
        <f>UPPER(TRIM(Raw_Data!E97))</f>
        <v>P008</v>
      </c>
      <c r="F97" s="2" t="str">
        <f>PROPER(TRIM(Raw_Data!F97))</f>
        <v>Bookshelf</v>
      </c>
      <c r="G97" s="2" t="str">
        <f>PROPER(TRIM(Raw_Data!G97))</f>
        <v>Furniture</v>
      </c>
      <c r="H97" s="2">
        <f>Raw_Data!H97</f>
        <v>5</v>
      </c>
      <c r="I97" s="4">
        <f>Raw_Data!I97</f>
        <v>149.99</v>
      </c>
      <c r="J97" s="2" t="str">
        <f>PROPER(TRIM(Raw_Data!J97))</f>
        <v>Credit Card</v>
      </c>
      <c r="K97" s="2" t="str">
        <f>PROPER(TRIM(Raw_Data!K97))</f>
        <v>Central</v>
      </c>
      <c r="L97" s="2" t="str">
        <f>PROPER(TRIM(Raw_Data!L97))</f>
        <v>Basic</v>
      </c>
      <c r="M97" s="3">
        <f>Raw_Data!M97</f>
        <v>45310</v>
      </c>
      <c r="N97" s="4">
        <f>Raw_Data!N97</f>
        <v>749.95</v>
      </c>
    </row>
    <row r="98" spans="1:14" ht="15" customHeight="1" x14ac:dyDescent="0.35">
      <c r="A98" s="2" t="str">
        <f>UPPER(TRIM(Raw_Data!A98))</f>
        <v>TRX0001</v>
      </c>
      <c r="B98" s="3">
        <f>Raw_Data!B98</f>
        <v>45528</v>
      </c>
      <c r="C98" s="2" t="str">
        <f>UPPER(TRIM(Raw_Data!C98))</f>
        <v>CUST039</v>
      </c>
      <c r="D98" s="2" t="str">
        <f>PROPER(TRIM(Raw_Data!D98))</f>
        <v>Lawrence Reed</v>
      </c>
      <c r="E98" s="2" t="str">
        <f>UPPER(TRIM(Raw_Data!E98))</f>
        <v>P004</v>
      </c>
      <c r="F98" s="2" t="str">
        <f>PROPER(TRIM(Raw_Data!F98))</f>
        <v>Coffee Maker</v>
      </c>
      <c r="G98" s="2" t="str">
        <f>PROPER(TRIM(Raw_Data!G98))</f>
        <v>Appliances</v>
      </c>
      <c r="H98" s="2">
        <f>Raw_Data!H98</f>
        <v>3</v>
      </c>
      <c r="I98" s="4">
        <f>Raw_Data!I98</f>
        <v>79.989999999999995</v>
      </c>
      <c r="J98" s="2" t="str">
        <f>PROPER(TRIM(Raw_Data!J98))</f>
        <v>Cash</v>
      </c>
      <c r="K98" s="2" t="str">
        <f>PROPER(TRIM(Raw_Data!K98))</f>
        <v>Central</v>
      </c>
      <c r="L98" s="2" t="str">
        <f>PROPER(TRIM(Raw_Data!L98))</f>
        <v>Premium</v>
      </c>
      <c r="M98" s="3">
        <f>Raw_Data!M98</f>
        <v>44779</v>
      </c>
      <c r="N98" s="4">
        <f>Raw_Data!N98</f>
        <v>239.97</v>
      </c>
    </row>
    <row r="99" spans="1:14" ht="15" customHeight="1" x14ac:dyDescent="0.35">
      <c r="A99" s="2" t="str">
        <f>UPPER(TRIM(Raw_Data!A99))</f>
        <v>TRX0037</v>
      </c>
      <c r="B99" s="3">
        <f>Raw_Data!B99</f>
        <v>45528</v>
      </c>
      <c r="C99" s="2" t="str">
        <f>UPPER(TRIM(Raw_Data!C99))</f>
        <v>CUST035</v>
      </c>
      <c r="D99" s="2" t="str">
        <f>PROPER(TRIM(Raw_Data!D99))</f>
        <v>Harry Morgan</v>
      </c>
      <c r="E99" s="2" t="str">
        <f>UPPER(TRIM(Raw_Data!E99))</f>
        <v>P009</v>
      </c>
      <c r="F99" s="2" t="str">
        <f>PROPER(TRIM(Raw_Data!F99))</f>
        <v>Monitor</v>
      </c>
      <c r="G99" s="2" t="str">
        <f>PROPER(TRIM(Raw_Data!G99))</f>
        <v>Electronics</v>
      </c>
      <c r="H99" s="2">
        <f>Raw_Data!H99</f>
        <v>2</v>
      </c>
      <c r="I99" s="4">
        <f>Raw_Data!I99</f>
        <v>249.99</v>
      </c>
      <c r="J99" s="2" t="str">
        <f>PROPER(TRIM(Raw_Data!J99))</f>
        <v>Cash</v>
      </c>
      <c r="K99" s="2" t="str">
        <f>PROPER(TRIM(Raw_Data!K99))</f>
        <v>South</v>
      </c>
      <c r="L99" s="2" t="str">
        <f>PROPER(TRIM(Raw_Data!L99))</f>
        <v>Standard</v>
      </c>
      <c r="M99" s="3">
        <f>Raw_Data!M99</f>
        <v>44572</v>
      </c>
      <c r="N99" s="4">
        <f>Raw_Data!N99</f>
        <v>499.98</v>
      </c>
    </row>
    <row r="100" spans="1:14" ht="15" customHeight="1" x14ac:dyDescent="0.35">
      <c r="A100" s="2" t="str">
        <f>UPPER(TRIM(Raw_Data!A100))</f>
        <v>TRX0058</v>
      </c>
      <c r="B100" s="3">
        <f>Raw_Data!B100</f>
        <v>45532</v>
      </c>
      <c r="C100" s="2" t="str">
        <f>UPPER(TRIM(Raw_Data!C100))</f>
        <v>CUST047</v>
      </c>
      <c r="D100" s="2" t="str">
        <f>PROPER(TRIM(Raw_Data!D100))</f>
        <v>Gerald Murphy</v>
      </c>
      <c r="E100" s="2" t="str">
        <f>UPPER(TRIM(Raw_Data!E100))</f>
        <v>P002</v>
      </c>
      <c r="F100" s="2" t="str">
        <f>PROPER(TRIM(Raw_Data!F100))</f>
        <v>Smartphone</v>
      </c>
      <c r="G100" s="2" t="str">
        <f>PROPER(TRIM(Raw_Data!G100))</f>
        <v>Electronics</v>
      </c>
      <c r="H100" s="2">
        <f>Raw_Data!H100</f>
        <v>1</v>
      </c>
      <c r="I100" s="4">
        <f>Raw_Data!I100</f>
        <v>699.99</v>
      </c>
      <c r="J100" s="2" t="str">
        <f>PROPER(TRIM(Raw_Data!J100))</f>
        <v>Cash</v>
      </c>
      <c r="K100" s="2" t="str">
        <f>PROPER(TRIM(Raw_Data!K100))</f>
        <v>Central</v>
      </c>
      <c r="L100" s="2" t="str">
        <f>PROPER(TRIM(Raw_Data!L100))</f>
        <v>Premium</v>
      </c>
      <c r="M100" s="3">
        <f>Raw_Data!M100</f>
        <v>44497</v>
      </c>
      <c r="N100" s="4">
        <f>Raw_Data!N100</f>
        <v>699.99</v>
      </c>
    </row>
    <row r="101" spans="1:14" ht="15" customHeight="1" x14ac:dyDescent="0.35">
      <c r="A101" s="2" t="str">
        <f>UPPER(TRIM(Raw_Data!A101))</f>
        <v>TRX0170</v>
      </c>
      <c r="B101" s="3">
        <f>Raw_Data!B101</f>
        <v>45532</v>
      </c>
      <c r="C101" s="2" t="str">
        <f>UPPER(TRIM(Raw_Data!C101))</f>
        <v>CUST034</v>
      </c>
      <c r="D101" s="2" t="str">
        <f>PROPER(TRIM(Raw_Data!D101))</f>
        <v>Carol Evans</v>
      </c>
      <c r="E101" s="2" t="str">
        <f>UPPER(TRIM(Raw_Data!E101))</f>
        <v>P003</v>
      </c>
      <c r="F101" s="2" t="str">
        <f>PROPER(TRIM(Raw_Data!F101))</f>
        <v>Headphones</v>
      </c>
      <c r="G101" s="2" t="str">
        <f>PROPER(TRIM(Raw_Data!G101))</f>
        <v>Electronics</v>
      </c>
      <c r="H101" s="2">
        <f>Raw_Data!H101</f>
        <v>3</v>
      </c>
      <c r="I101" s="4">
        <f>Raw_Data!I101</f>
        <v>149.99</v>
      </c>
      <c r="J101" s="2" t="str">
        <f>PROPER(TRIM(Raw_Data!J101))</f>
        <v>Cash</v>
      </c>
      <c r="K101" s="2" t="str">
        <f>PROPER(TRIM(Raw_Data!K101))</f>
        <v>West</v>
      </c>
      <c r="L101" s="2" t="str">
        <f>PROPER(TRIM(Raw_Data!L101))</f>
        <v>Premium</v>
      </c>
      <c r="M101" s="3">
        <f>Raw_Data!M101</f>
        <v>45212</v>
      </c>
      <c r="N101" s="4">
        <f>Raw_Data!N101</f>
        <v>449.97</v>
      </c>
    </row>
    <row r="102" spans="1:14" ht="15" customHeight="1" x14ac:dyDescent="0.35">
      <c r="A102" s="2" t="str">
        <f>UPPER(TRIM(Raw_Data!A102))</f>
        <v>TRX0248</v>
      </c>
      <c r="B102" s="3">
        <f>Raw_Data!B102</f>
        <v>45534</v>
      </c>
      <c r="C102" s="2" t="str">
        <f>UPPER(TRIM(Raw_Data!C102))</f>
        <v>CUST032</v>
      </c>
      <c r="D102" s="2" t="str">
        <f>PROPER(TRIM(Raw_Data!D102))</f>
        <v>Sandra Phillips</v>
      </c>
      <c r="E102" s="2" t="str">
        <f>UPPER(TRIM(Raw_Data!E102))</f>
        <v>P002</v>
      </c>
      <c r="F102" s="2" t="str">
        <f>PROPER(TRIM(Raw_Data!F102))</f>
        <v>Smartphone</v>
      </c>
      <c r="G102" s="2" t="str">
        <f>PROPER(TRIM(Raw_Data!G102))</f>
        <v>Electronics</v>
      </c>
      <c r="H102" s="2">
        <f>Raw_Data!H102</f>
        <v>2</v>
      </c>
      <c r="I102" s="4">
        <f>Raw_Data!I102</f>
        <v>699.99</v>
      </c>
      <c r="J102" s="2" t="str">
        <f>PROPER(TRIM(Raw_Data!J102))</f>
        <v>Credit Card</v>
      </c>
      <c r="K102" s="2" t="str">
        <f>PROPER(TRIM(Raw_Data!K102))</f>
        <v>North</v>
      </c>
      <c r="L102" s="2" t="str">
        <f>PROPER(TRIM(Raw_Data!L102))</f>
        <v>Premium</v>
      </c>
      <c r="M102" s="3">
        <f>Raw_Data!M102</f>
        <v>44421</v>
      </c>
      <c r="N102" s="4">
        <f>Raw_Data!N102</f>
        <v>1399.98</v>
      </c>
    </row>
    <row r="103" spans="1:14" ht="15" customHeight="1" x14ac:dyDescent="0.35">
      <c r="A103" s="2" t="str">
        <f>UPPER(TRIM(Raw_Data!A103))</f>
        <v>TRX0099</v>
      </c>
      <c r="B103" s="3">
        <f>Raw_Data!B103</f>
        <v>45537</v>
      </c>
      <c r="C103" s="2" t="str">
        <f>UPPER(TRIM(Raw_Data!C103))</f>
        <v>CUST034</v>
      </c>
      <c r="D103" s="2" t="str">
        <f>PROPER(TRIM(Raw_Data!D103))</f>
        <v>Carol Evans</v>
      </c>
      <c r="E103" s="2" t="str">
        <f>UPPER(TRIM(Raw_Data!E103))</f>
        <v>P009</v>
      </c>
      <c r="F103" s="2" t="str">
        <f>PROPER(TRIM(Raw_Data!F103))</f>
        <v>Monitor</v>
      </c>
      <c r="G103" s="2" t="str">
        <f>PROPER(TRIM(Raw_Data!G103))</f>
        <v>Electronics</v>
      </c>
      <c r="H103" s="2">
        <f>Raw_Data!H103</f>
        <v>1</v>
      </c>
      <c r="I103" s="4">
        <f>Raw_Data!I103</f>
        <v>249.99</v>
      </c>
      <c r="J103" s="2" t="str">
        <f>PROPER(TRIM(Raw_Data!J103))</f>
        <v>Credit Card</v>
      </c>
      <c r="K103" s="2" t="str">
        <f>PROPER(TRIM(Raw_Data!K103))</f>
        <v>West</v>
      </c>
      <c r="L103" s="2" t="str">
        <f>PROPER(TRIM(Raw_Data!L103))</f>
        <v>Premium</v>
      </c>
      <c r="M103" s="3">
        <f>Raw_Data!M103</f>
        <v>44685</v>
      </c>
      <c r="N103" s="4">
        <f>Raw_Data!N103</f>
        <v>249.99</v>
      </c>
    </row>
    <row r="104" spans="1:14" ht="15" customHeight="1" x14ac:dyDescent="0.35">
      <c r="A104" s="2" t="str">
        <f>UPPER(TRIM(Raw_Data!A104))</f>
        <v>TRX0074</v>
      </c>
      <c r="B104" s="3">
        <f>Raw_Data!B104</f>
        <v>45537</v>
      </c>
      <c r="C104" s="2" t="str">
        <f>UPPER(TRIM(Raw_Data!C104))</f>
        <v>CUST023</v>
      </c>
      <c r="D104" s="2" t="str">
        <f>PROPER(TRIM(Raw_Data!D104))</f>
        <v>Paul Baker</v>
      </c>
      <c r="E104" s="2" t="str">
        <f>UPPER(TRIM(Raw_Data!E104))</f>
        <v>P009</v>
      </c>
      <c r="F104" s="2" t="str">
        <f>PROPER(TRIM(Raw_Data!F104))</f>
        <v>Monitor</v>
      </c>
      <c r="G104" s="2" t="str">
        <f>PROPER(TRIM(Raw_Data!G104))</f>
        <v>Electronics</v>
      </c>
      <c r="H104" s="2">
        <f>Raw_Data!H104</f>
        <v>1</v>
      </c>
      <c r="I104" s="4">
        <f>Raw_Data!I104</f>
        <v>249.99</v>
      </c>
      <c r="J104" s="2" t="str">
        <f>PROPER(TRIM(Raw_Data!J104))</f>
        <v>Debit Card</v>
      </c>
      <c r="K104" s="2" t="str">
        <f>PROPER(TRIM(Raw_Data!K104))</f>
        <v>North</v>
      </c>
      <c r="L104" s="2" t="str">
        <f>PROPER(TRIM(Raw_Data!L104))</f>
        <v>Premium</v>
      </c>
      <c r="M104" s="3">
        <f>Raw_Data!M104</f>
        <v>45332</v>
      </c>
      <c r="N104" s="4">
        <f>Raw_Data!N104</f>
        <v>249.99</v>
      </c>
    </row>
    <row r="105" spans="1:14" ht="15" customHeight="1" x14ac:dyDescent="0.35">
      <c r="A105" s="2" t="str">
        <f>UPPER(TRIM(Raw_Data!A105))</f>
        <v>TRX0225</v>
      </c>
      <c r="B105" s="3">
        <f>Raw_Data!B105</f>
        <v>45538</v>
      </c>
      <c r="C105" s="2" t="str">
        <f>UPPER(TRIM(Raw_Data!C105))</f>
        <v>CUST039</v>
      </c>
      <c r="D105" s="2" t="str">
        <f>PROPER(TRIM(Raw_Data!D105))</f>
        <v>Lawrence Reed</v>
      </c>
      <c r="E105" s="2" t="str">
        <f>UPPER(TRIM(Raw_Data!E105))</f>
        <v>P002</v>
      </c>
      <c r="F105" s="2" t="str">
        <f>PROPER(TRIM(Raw_Data!F105))</f>
        <v>Smartphone</v>
      </c>
      <c r="G105" s="2" t="str">
        <f>PROPER(TRIM(Raw_Data!G105))</f>
        <v>Electronics</v>
      </c>
      <c r="H105" s="2">
        <f>Raw_Data!H105</f>
        <v>2</v>
      </c>
      <c r="I105" s="4">
        <f>Raw_Data!I105</f>
        <v>699.99</v>
      </c>
      <c r="J105" s="2" t="str">
        <f>PROPER(TRIM(Raw_Data!J105))</f>
        <v>Debit Card</v>
      </c>
      <c r="K105" s="2" t="str">
        <f>PROPER(TRIM(Raw_Data!K105))</f>
        <v>Central</v>
      </c>
      <c r="L105" s="2" t="str">
        <f>PROPER(TRIM(Raw_Data!L105))</f>
        <v>Premium</v>
      </c>
      <c r="M105" s="3">
        <f>Raw_Data!M105</f>
        <v>44870</v>
      </c>
      <c r="N105" s="4">
        <f>Raw_Data!N105</f>
        <v>1399.98</v>
      </c>
    </row>
    <row r="106" spans="1:14" ht="15" customHeight="1" x14ac:dyDescent="0.35">
      <c r="A106" s="2" t="str">
        <f>UPPER(TRIM(Raw_Data!A106))</f>
        <v>TRX0100</v>
      </c>
      <c r="B106" s="3">
        <f>Raw_Data!B106</f>
        <v>45541</v>
      </c>
      <c r="C106" s="2" t="str">
        <f>UPPER(TRIM(Raw_Data!C106))</f>
        <v>CUST031</v>
      </c>
      <c r="D106" s="2" t="str">
        <f>PROPER(TRIM(Raw_Data!D106))</f>
        <v>Steven Turner</v>
      </c>
      <c r="E106" s="2" t="str">
        <f>UPPER(TRIM(Raw_Data!E106))</f>
        <v>P005</v>
      </c>
      <c r="F106" s="2" t="str">
        <f>PROPER(TRIM(Raw_Data!F106))</f>
        <v>Blender</v>
      </c>
      <c r="G106" s="2" t="str">
        <f>PROPER(TRIM(Raw_Data!G106))</f>
        <v>Appliances</v>
      </c>
      <c r="H106" s="2">
        <f>Raw_Data!H106</f>
        <v>3</v>
      </c>
      <c r="I106" s="4">
        <f>Raw_Data!I106</f>
        <v>59.99</v>
      </c>
      <c r="J106" s="2" t="str">
        <f>PROPER(TRIM(Raw_Data!J106))</f>
        <v>Credit Card</v>
      </c>
      <c r="K106" s="2" t="str">
        <f>PROPER(TRIM(Raw_Data!K106))</f>
        <v>Central</v>
      </c>
      <c r="L106" s="2" t="str">
        <f>PROPER(TRIM(Raw_Data!L106))</f>
        <v>Premium</v>
      </c>
      <c r="M106" s="3">
        <f>Raw_Data!M106</f>
        <v>44717</v>
      </c>
      <c r="N106" s="4">
        <f>Raw_Data!N106</f>
        <v>179.97</v>
      </c>
    </row>
    <row r="107" spans="1:14" ht="15" customHeight="1" x14ac:dyDescent="0.35">
      <c r="A107" s="2" t="str">
        <f>UPPER(TRIM(Raw_Data!A107))</f>
        <v>TRX0142</v>
      </c>
      <c r="B107" s="3">
        <f>Raw_Data!B107</f>
        <v>45544</v>
      </c>
      <c r="C107" s="2" t="str">
        <f>UPPER(TRIM(Raw_Data!C107))</f>
        <v>CUST002</v>
      </c>
      <c r="D107" s="2" t="str">
        <f>PROPER(TRIM(Raw_Data!D107))</f>
        <v>Emma Wilson</v>
      </c>
      <c r="E107" s="2" t="str">
        <f>UPPER(TRIM(Raw_Data!E107))</f>
        <v>P005</v>
      </c>
      <c r="F107" s="2" t="str">
        <f>PROPER(TRIM(Raw_Data!F107))</f>
        <v>Blender</v>
      </c>
      <c r="G107" s="2" t="str">
        <f>PROPER(TRIM(Raw_Data!G107))</f>
        <v>Appliances</v>
      </c>
      <c r="H107" s="2">
        <f>Raw_Data!H107</f>
        <v>3</v>
      </c>
      <c r="I107" s="4">
        <f>Raw_Data!I107</f>
        <v>59.99</v>
      </c>
      <c r="J107" s="2" t="str">
        <f>PROPER(TRIM(Raw_Data!J107))</f>
        <v>Paypal</v>
      </c>
      <c r="K107" s="2" t="str">
        <f>PROPER(TRIM(Raw_Data!K107))</f>
        <v>East</v>
      </c>
      <c r="L107" s="2" t="str">
        <f>PROPER(TRIM(Raw_Data!L107))</f>
        <v>Standard</v>
      </c>
      <c r="M107" s="3">
        <f>Raw_Data!M107</f>
        <v>44748</v>
      </c>
      <c r="N107" s="4">
        <f>Raw_Data!N107</f>
        <v>179.97</v>
      </c>
    </row>
    <row r="108" spans="1:14" ht="15" customHeight="1" x14ac:dyDescent="0.35">
      <c r="A108" s="2" t="str">
        <f>UPPER(TRIM(Raw_Data!A108))</f>
        <v>TRX0112</v>
      </c>
      <c r="B108" s="3">
        <f>Raw_Data!B108</f>
        <v>45544</v>
      </c>
      <c r="C108" s="2" t="str">
        <f>UPPER(TRIM(Raw_Data!C108))</f>
        <v>CUST008</v>
      </c>
      <c r="D108" s="2" t="str">
        <f>PROPER(TRIM(Raw_Data!D108))</f>
        <v>Jennifer Taylor</v>
      </c>
      <c r="E108" s="2" t="str">
        <f>UPPER(TRIM(Raw_Data!E108))</f>
        <v>P004</v>
      </c>
      <c r="F108" s="2" t="str">
        <f>PROPER(TRIM(Raw_Data!F108))</f>
        <v>Coffee Maker</v>
      </c>
      <c r="G108" s="2" t="str">
        <f>PROPER(TRIM(Raw_Data!G108))</f>
        <v>Appliances</v>
      </c>
      <c r="H108" s="2">
        <f>Raw_Data!H108</f>
        <v>4</v>
      </c>
      <c r="I108" s="4">
        <f>Raw_Data!I108</f>
        <v>79.989999999999995</v>
      </c>
      <c r="J108" s="2" t="str">
        <f>PROPER(TRIM(Raw_Data!J108))</f>
        <v>Cash</v>
      </c>
      <c r="K108" s="2" t="str">
        <f>PROPER(TRIM(Raw_Data!K108))</f>
        <v>North</v>
      </c>
      <c r="L108" s="2" t="str">
        <f>PROPER(TRIM(Raw_Data!L108))</f>
        <v>Basic</v>
      </c>
      <c r="M108" s="3">
        <f>Raw_Data!M108</f>
        <v>44530</v>
      </c>
      <c r="N108" s="4">
        <f>Raw_Data!N108</f>
        <v>319.95999999999998</v>
      </c>
    </row>
    <row r="109" spans="1:14" ht="15" customHeight="1" x14ac:dyDescent="0.35">
      <c r="A109" s="2" t="str">
        <f>UPPER(TRIM(Raw_Data!A109))</f>
        <v>TRX0161</v>
      </c>
      <c r="B109" s="3">
        <f>Raw_Data!B109</f>
        <v>45545</v>
      </c>
      <c r="C109" s="2" t="str">
        <f>UPPER(TRIM(Raw_Data!C109))</f>
        <v>CUST017</v>
      </c>
      <c r="D109" s="2" t="str">
        <f>PROPER(TRIM(Raw_Data!D109))</f>
        <v>Charles Allen</v>
      </c>
      <c r="E109" s="2" t="str">
        <f>UPPER(TRIM(Raw_Data!E109))</f>
        <v>P004</v>
      </c>
      <c r="F109" s="2" t="str">
        <f>PROPER(TRIM(Raw_Data!F109))</f>
        <v>Coffee Maker</v>
      </c>
      <c r="G109" s="2" t="str">
        <f>PROPER(TRIM(Raw_Data!G109))</f>
        <v>Appliances</v>
      </c>
      <c r="H109" s="2">
        <f>Raw_Data!H109</f>
        <v>1</v>
      </c>
      <c r="I109" s="4">
        <f>Raw_Data!I109</f>
        <v>79.989999999999995</v>
      </c>
      <c r="J109" s="2" t="str">
        <f>PROPER(TRIM(Raw_Data!J109))</f>
        <v>Cash</v>
      </c>
      <c r="K109" s="2" t="str">
        <f>PROPER(TRIM(Raw_Data!K109))</f>
        <v>West</v>
      </c>
      <c r="L109" s="2" t="str">
        <f>PROPER(TRIM(Raw_Data!L109))</f>
        <v>Basic</v>
      </c>
      <c r="M109" s="3">
        <f>Raw_Data!M109</f>
        <v>44693</v>
      </c>
      <c r="N109" s="4">
        <f>Raw_Data!N109</f>
        <v>79.989999999999995</v>
      </c>
    </row>
    <row r="110" spans="1:14" ht="15" customHeight="1" x14ac:dyDescent="0.35">
      <c r="A110" s="2" t="str">
        <f>UPPER(TRIM(Raw_Data!A110))</f>
        <v>TRX0108</v>
      </c>
      <c r="B110" s="3">
        <f>Raw_Data!B110</f>
        <v>45547</v>
      </c>
      <c r="C110" s="2" t="str">
        <f>UPPER(TRIM(Raw_Data!C110))</f>
        <v>CUST024</v>
      </c>
      <c r="D110" s="2" t="str">
        <f>PROPER(TRIM(Raw_Data!D110))</f>
        <v>Dorothy Nelson</v>
      </c>
      <c r="E110" s="2" t="str">
        <f>UPPER(TRIM(Raw_Data!E110))</f>
        <v>P007</v>
      </c>
      <c r="F110" s="2" t="str">
        <f>PROPER(TRIM(Raw_Data!F110))</f>
        <v>Desk</v>
      </c>
      <c r="G110" s="2" t="str">
        <f>PROPER(TRIM(Raw_Data!G110))</f>
        <v>Furniture</v>
      </c>
      <c r="H110" s="2">
        <f>Raw_Data!H110</f>
        <v>3</v>
      </c>
      <c r="I110" s="4">
        <f>Raw_Data!I110</f>
        <v>299.99</v>
      </c>
      <c r="J110" s="2" t="str">
        <f>PROPER(TRIM(Raw_Data!J110))</f>
        <v>Credit Card</v>
      </c>
      <c r="K110" s="2" t="str">
        <f>PROPER(TRIM(Raw_Data!K110))</f>
        <v>Central</v>
      </c>
      <c r="L110" s="2" t="str">
        <f>PROPER(TRIM(Raw_Data!L110))</f>
        <v>Premium</v>
      </c>
      <c r="M110" s="3">
        <f>Raw_Data!M110</f>
        <v>44494</v>
      </c>
      <c r="N110" s="4">
        <f>Raw_Data!N110</f>
        <v>899.97</v>
      </c>
    </row>
    <row r="111" spans="1:14" ht="15" customHeight="1" x14ac:dyDescent="0.35">
      <c r="A111" s="2" t="str">
        <f>UPPER(TRIM(Raw_Data!A111))</f>
        <v>TRX0211</v>
      </c>
      <c r="B111" s="3">
        <f>Raw_Data!B111</f>
        <v>45548</v>
      </c>
      <c r="C111" s="2" t="str">
        <f>UPPER(TRIM(Raw_Data!C111))</f>
        <v>CUST046</v>
      </c>
      <c r="D111" s="2" t="str">
        <f>PROPER(TRIM(Raw_Data!D111))</f>
        <v>Kathleen Bennett</v>
      </c>
      <c r="E111" s="2" t="str">
        <f>UPPER(TRIM(Raw_Data!E111))</f>
        <v>P010</v>
      </c>
      <c r="F111" s="2" t="str">
        <f>PROPER(TRIM(Raw_Data!F111))</f>
        <v>Keyboard</v>
      </c>
      <c r="G111" s="2" t="str">
        <f>PROPER(TRIM(Raw_Data!G111))</f>
        <v>Electronics</v>
      </c>
      <c r="H111" s="2">
        <f>Raw_Data!H111</f>
        <v>2</v>
      </c>
      <c r="I111" s="4">
        <f>Raw_Data!I111</f>
        <v>89.99</v>
      </c>
      <c r="J111" s="2" t="str">
        <f>PROPER(TRIM(Raw_Data!J111))</f>
        <v>Credit Card</v>
      </c>
      <c r="K111" s="2" t="str">
        <f>PROPER(TRIM(Raw_Data!K111))</f>
        <v>South</v>
      </c>
      <c r="L111" s="2" t="str">
        <f>PROPER(TRIM(Raw_Data!L111))</f>
        <v>Premium</v>
      </c>
      <c r="M111" s="3">
        <f>Raw_Data!M111</f>
        <v>44641</v>
      </c>
      <c r="N111" s="4">
        <f>Raw_Data!N111</f>
        <v>179.98</v>
      </c>
    </row>
    <row r="112" spans="1:14" ht="15" customHeight="1" x14ac:dyDescent="0.35">
      <c r="A112" s="2" t="str">
        <f>UPPER(TRIM(Raw_Data!A112))</f>
        <v>TRX0005</v>
      </c>
      <c r="B112" s="3">
        <f>Raw_Data!B112</f>
        <v>45550</v>
      </c>
      <c r="C112" s="2" t="str">
        <f>UPPER(TRIM(Raw_Data!C112))</f>
        <v>CUST042</v>
      </c>
      <c r="D112" s="2" t="str">
        <f>PROPER(TRIM(Raw_Data!D112))</f>
        <v>Ruth Brooks</v>
      </c>
      <c r="E112" s="2" t="str">
        <f>UPPER(TRIM(Raw_Data!E112))</f>
        <v>P003</v>
      </c>
      <c r="F112" s="2" t="str">
        <f>PROPER(TRIM(Raw_Data!F112))</f>
        <v>Headphones</v>
      </c>
      <c r="G112" s="2" t="str">
        <f>PROPER(TRIM(Raw_Data!G112))</f>
        <v>Electronics</v>
      </c>
      <c r="H112" s="2">
        <f>Raw_Data!H112</f>
        <v>4</v>
      </c>
      <c r="I112" s="4">
        <f>Raw_Data!I112</f>
        <v>149.99</v>
      </c>
      <c r="J112" s="2" t="str">
        <f>PROPER(TRIM(Raw_Data!J112))</f>
        <v>Cash</v>
      </c>
      <c r="K112" s="2" t="str">
        <f>PROPER(TRIM(Raw_Data!K112))</f>
        <v>North</v>
      </c>
      <c r="L112" s="2" t="str">
        <f>PROPER(TRIM(Raw_Data!L112))</f>
        <v>Basic</v>
      </c>
      <c r="M112" s="3">
        <f>Raw_Data!M112</f>
        <v>44909</v>
      </c>
      <c r="N112" s="4">
        <f>Raw_Data!N112</f>
        <v>599.96</v>
      </c>
    </row>
    <row r="113" spans="1:14" ht="15" customHeight="1" x14ac:dyDescent="0.35">
      <c r="A113" s="2" t="str">
        <f>UPPER(TRIM(Raw_Data!A113))</f>
        <v>TRX0195</v>
      </c>
      <c r="B113" s="3">
        <f>Raw_Data!B113</f>
        <v>45551</v>
      </c>
      <c r="C113" s="2" t="str">
        <f>UPPER(TRIM(Raw_Data!C113))</f>
        <v>CUST026</v>
      </c>
      <c r="D113" s="2" t="str">
        <f>PROPER(TRIM(Raw_Data!D113))</f>
        <v>Karen Hill</v>
      </c>
      <c r="E113" s="2" t="str">
        <f>UPPER(TRIM(Raw_Data!E113))</f>
        <v>P009</v>
      </c>
      <c r="F113" s="2" t="str">
        <f>PROPER(TRIM(Raw_Data!F113))</f>
        <v>Monitor</v>
      </c>
      <c r="G113" s="2" t="str">
        <f>PROPER(TRIM(Raw_Data!G113))</f>
        <v>Electronics</v>
      </c>
      <c r="H113" s="2">
        <f>Raw_Data!H113</f>
        <v>2</v>
      </c>
      <c r="I113" s="4">
        <f>Raw_Data!I113</f>
        <v>249.99</v>
      </c>
      <c r="J113" s="2" t="str">
        <f>PROPER(TRIM(Raw_Data!J113))</f>
        <v>Paypal</v>
      </c>
      <c r="K113" s="2" t="str">
        <f>PROPER(TRIM(Raw_Data!K113))</f>
        <v>South</v>
      </c>
      <c r="L113" s="2" t="str">
        <f>PROPER(TRIM(Raw_Data!L113))</f>
        <v>Basic</v>
      </c>
      <c r="M113" s="3">
        <f>Raw_Data!M113</f>
        <v>44993</v>
      </c>
      <c r="N113" s="4">
        <f>Raw_Data!N113</f>
        <v>499.98</v>
      </c>
    </row>
    <row r="114" spans="1:14" ht="15" customHeight="1" x14ac:dyDescent="0.35">
      <c r="A114" s="2" t="str">
        <f>UPPER(TRIM(Raw_Data!A114))</f>
        <v>TRX0054</v>
      </c>
      <c r="B114" s="3">
        <f>Raw_Data!B114</f>
        <v>45551</v>
      </c>
      <c r="C114" s="2" t="str">
        <f>UPPER(TRIM(Raw_Data!C114))</f>
        <v>CUST004</v>
      </c>
      <c r="D114" s="2" t="str">
        <f>PROPER(TRIM(Raw_Data!D114))</f>
        <v>Sarah Davis</v>
      </c>
      <c r="E114" s="2" t="str">
        <f>UPPER(TRIM(Raw_Data!E114))</f>
        <v>P006</v>
      </c>
      <c r="F114" s="2" t="str">
        <f>PROPER(TRIM(Raw_Data!F114))</f>
        <v>Office Chair</v>
      </c>
      <c r="G114" s="2" t="str">
        <f>PROPER(TRIM(Raw_Data!G114))</f>
        <v>Furniture</v>
      </c>
      <c r="H114" s="2">
        <f>Raw_Data!H114</f>
        <v>4</v>
      </c>
      <c r="I114" s="4">
        <f>Raw_Data!I114</f>
        <v>199.99</v>
      </c>
      <c r="J114" s="2" t="str">
        <f>PROPER(TRIM(Raw_Data!J114))</f>
        <v>Debit Card</v>
      </c>
      <c r="K114" s="2" t="str">
        <f>PROPER(TRIM(Raw_Data!K114))</f>
        <v>East</v>
      </c>
      <c r="L114" s="2" t="str">
        <f>PROPER(TRIM(Raw_Data!L114))</f>
        <v>Basic</v>
      </c>
      <c r="M114" s="3">
        <f>Raw_Data!M114</f>
        <v>44458</v>
      </c>
      <c r="N114" s="4">
        <f>Raw_Data!N114</f>
        <v>799.96</v>
      </c>
    </row>
    <row r="115" spans="1:14" ht="15" customHeight="1" x14ac:dyDescent="0.35">
      <c r="A115" s="2" t="str">
        <f>UPPER(TRIM(Raw_Data!A115))</f>
        <v>TRX0077</v>
      </c>
      <c r="B115" s="3">
        <f>Raw_Data!B115</f>
        <v>45554</v>
      </c>
      <c r="C115" s="2" t="str">
        <f>UPPER(TRIM(Raw_Data!C115))</f>
        <v>CUST019</v>
      </c>
      <c r="D115" s="2" t="str">
        <f>PROPER(TRIM(Raw_Data!D115))</f>
        <v>Daniel King</v>
      </c>
      <c r="E115" s="2" t="str">
        <f>UPPER(TRIM(Raw_Data!E115))</f>
        <v>P010</v>
      </c>
      <c r="F115" s="2" t="str">
        <f>PROPER(TRIM(Raw_Data!F115))</f>
        <v>Keyboard</v>
      </c>
      <c r="G115" s="2" t="str">
        <f>PROPER(TRIM(Raw_Data!G115))</f>
        <v>Electronics</v>
      </c>
      <c r="H115" s="2">
        <f>Raw_Data!H115</f>
        <v>5</v>
      </c>
      <c r="I115" s="4">
        <f>Raw_Data!I115</f>
        <v>89.99</v>
      </c>
      <c r="J115" s="2" t="str">
        <f>PROPER(TRIM(Raw_Data!J115))</f>
        <v>Credit Card</v>
      </c>
      <c r="K115" s="2" t="str">
        <f>PROPER(TRIM(Raw_Data!K115))</f>
        <v>East</v>
      </c>
      <c r="L115" s="2" t="str">
        <f>PROPER(TRIM(Raw_Data!L115))</f>
        <v>Premium</v>
      </c>
      <c r="M115" s="3">
        <f>Raw_Data!M115</f>
        <v>44446</v>
      </c>
      <c r="N115" s="4">
        <f>Raw_Data!N115</f>
        <v>449.95</v>
      </c>
    </row>
    <row r="116" spans="1:14" ht="15" customHeight="1" x14ac:dyDescent="0.35">
      <c r="A116" s="2" t="str">
        <f>UPPER(TRIM(Raw_Data!A116))</f>
        <v>TRX0111</v>
      </c>
      <c r="B116" s="3">
        <f>Raw_Data!B116</f>
        <v>45554</v>
      </c>
      <c r="C116" s="2" t="str">
        <f>UPPER(TRIM(Raw_Data!C116))</f>
        <v>CUST011</v>
      </c>
      <c r="D116" s="2" t="str">
        <f>PROPER(TRIM(Raw_Data!D116))</f>
        <v>William White</v>
      </c>
      <c r="E116" s="2" t="str">
        <f>UPPER(TRIM(Raw_Data!E116))</f>
        <v>P003</v>
      </c>
      <c r="F116" s="2" t="str">
        <f>PROPER(TRIM(Raw_Data!F116))</f>
        <v>Headphones</v>
      </c>
      <c r="G116" s="2" t="str">
        <f>PROPER(TRIM(Raw_Data!G116))</f>
        <v>Electronics</v>
      </c>
      <c r="H116" s="2">
        <f>Raw_Data!H116</f>
        <v>1</v>
      </c>
      <c r="I116" s="4">
        <f>Raw_Data!I116</f>
        <v>149.99</v>
      </c>
      <c r="J116" s="2" t="str">
        <f>PROPER(TRIM(Raw_Data!J116))</f>
        <v>Paypal</v>
      </c>
      <c r="K116" s="2" t="str">
        <f>PROPER(TRIM(Raw_Data!K116))</f>
        <v>East</v>
      </c>
      <c r="L116" s="2" t="str">
        <f>PROPER(TRIM(Raw_Data!L116))</f>
        <v>Standard</v>
      </c>
      <c r="M116" s="3">
        <f>Raw_Data!M116</f>
        <v>44482</v>
      </c>
      <c r="N116" s="4">
        <f>Raw_Data!N116</f>
        <v>149.99</v>
      </c>
    </row>
    <row r="117" spans="1:14" ht="15" customHeight="1" x14ac:dyDescent="0.35">
      <c r="A117" s="2" t="str">
        <f>UPPER(TRIM(Raw_Data!A117))</f>
        <v>TRX0123</v>
      </c>
      <c r="B117" s="3">
        <f>Raw_Data!B117</f>
        <v>45554</v>
      </c>
      <c r="C117" s="2" t="str">
        <f>UPPER(TRIM(Raw_Data!C117))</f>
        <v>CUST041</v>
      </c>
      <c r="D117" s="2" t="str">
        <f>PROPER(TRIM(Raw_Data!D117))</f>
        <v>Peter Richardson</v>
      </c>
      <c r="E117" s="2" t="str">
        <f>UPPER(TRIM(Raw_Data!E117))</f>
        <v>P002</v>
      </c>
      <c r="F117" s="2" t="str">
        <f>PROPER(TRIM(Raw_Data!F117))</f>
        <v>Smartphone</v>
      </c>
      <c r="G117" s="2" t="str">
        <f>PROPER(TRIM(Raw_Data!G117))</f>
        <v>Electronics</v>
      </c>
      <c r="H117" s="2">
        <f>Raw_Data!H117</f>
        <v>4</v>
      </c>
      <c r="I117" s="4">
        <f>Raw_Data!I117</f>
        <v>699.99</v>
      </c>
      <c r="J117" s="2" t="str">
        <f>PROPER(TRIM(Raw_Data!J117))</f>
        <v>Paypal</v>
      </c>
      <c r="K117" s="2" t="str">
        <f>PROPER(TRIM(Raw_Data!K117))</f>
        <v>South</v>
      </c>
      <c r="L117" s="2" t="str">
        <f>PROPER(TRIM(Raw_Data!L117))</f>
        <v>Basic</v>
      </c>
      <c r="M117" s="3">
        <f>Raw_Data!M117</f>
        <v>44618</v>
      </c>
      <c r="N117" s="4">
        <f>Raw_Data!N117</f>
        <v>2799.96</v>
      </c>
    </row>
    <row r="118" spans="1:14" ht="15" customHeight="1" x14ac:dyDescent="0.35">
      <c r="A118" s="2" t="str">
        <f>UPPER(TRIM(Raw_Data!A118))</f>
        <v>TRX0177</v>
      </c>
      <c r="B118" s="3">
        <f>Raw_Data!B118</f>
        <v>45559</v>
      </c>
      <c r="C118" s="2" t="str">
        <f>UPPER(TRIM(Raw_Data!C118))</f>
        <v>CUST032</v>
      </c>
      <c r="D118" s="2" t="str">
        <f>PROPER(TRIM(Raw_Data!D118))</f>
        <v>Sandra Phillips</v>
      </c>
      <c r="E118" s="2" t="str">
        <f>UPPER(TRIM(Raw_Data!E118))</f>
        <v>P001</v>
      </c>
      <c r="F118" s="2" t="str">
        <f>PROPER(TRIM(Raw_Data!F118))</f>
        <v>Laptop</v>
      </c>
      <c r="G118" s="2" t="str">
        <f>PROPER(TRIM(Raw_Data!G118))</f>
        <v>Electronics</v>
      </c>
      <c r="H118" s="2">
        <f>Raw_Data!H118</f>
        <v>3</v>
      </c>
      <c r="I118" s="4">
        <f>Raw_Data!I118</f>
        <v>899.99</v>
      </c>
      <c r="J118" s="2" t="str">
        <f>PROPER(TRIM(Raw_Data!J118))</f>
        <v>Credit Card</v>
      </c>
      <c r="K118" s="2" t="str">
        <f>PROPER(TRIM(Raw_Data!K118))</f>
        <v>North</v>
      </c>
      <c r="L118" s="2" t="str">
        <f>PROPER(TRIM(Raw_Data!L118))</f>
        <v>Standard</v>
      </c>
      <c r="M118" s="3">
        <f>Raw_Data!M118</f>
        <v>45157</v>
      </c>
      <c r="N118" s="4">
        <f>Raw_Data!N118</f>
        <v>2699.97</v>
      </c>
    </row>
    <row r="119" spans="1:14" ht="15" customHeight="1" x14ac:dyDescent="0.35">
      <c r="A119" s="2" t="str">
        <f>UPPER(TRIM(Raw_Data!A119))</f>
        <v>TRX0119</v>
      </c>
      <c r="B119" s="3">
        <f>Raw_Data!B119</f>
        <v>45560</v>
      </c>
      <c r="C119" s="2" t="str">
        <f>UPPER(TRIM(Raw_Data!C119))</f>
        <v>CUST014</v>
      </c>
      <c r="D119" s="2" t="str">
        <f>PROPER(TRIM(Raw_Data!D119))</f>
        <v>Linda Martin</v>
      </c>
      <c r="E119" s="2" t="str">
        <f>UPPER(TRIM(Raw_Data!E119))</f>
        <v>P008</v>
      </c>
      <c r="F119" s="2" t="str">
        <f>PROPER(TRIM(Raw_Data!F119))</f>
        <v>Bookshelf</v>
      </c>
      <c r="G119" s="2" t="str">
        <f>PROPER(TRIM(Raw_Data!G119))</f>
        <v>Furniture</v>
      </c>
      <c r="H119" s="2">
        <f>Raw_Data!H119</f>
        <v>3</v>
      </c>
      <c r="I119" s="4">
        <f>Raw_Data!I119</f>
        <v>149.99</v>
      </c>
      <c r="J119" s="2" t="str">
        <f>PROPER(TRIM(Raw_Data!J119))</f>
        <v>Paypal</v>
      </c>
      <c r="K119" s="2" t="str">
        <f>PROPER(TRIM(Raw_Data!K119))</f>
        <v>East</v>
      </c>
      <c r="L119" s="2" t="str">
        <f>PROPER(TRIM(Raw_Data!L119))</f>
        <v>Basic</v>
      </c>
      <c r="M119" s="3">
        <f>Raw_Data!M119</f>
        <v>44886</v>
      </c>
      <c r="N119" s="4">
        <f>Raw_Data!N119</f>
        <v>449.97</v>
      </c>
    </row>
    <row r="120" spans="1:14" ht="15" customHeight="1" x14ac:dyDescent="0.35">
      <c r="A120" s="2" t="str">
        <f>UPPER(TRIM(Raw_Data!A120))</f>
        <v>TRX0181</v>
      </c>
      <c r="B120" s="3">
        <f>Raw_Data!B120</f>
        <v>45563</v>
      </c>
      <c r="C120" s="2" t="str">
        <f>UPPER(TRIM(Raw_Data!C120))</f>
        <v>CUST012</v>
      </c>
      <c r="D120" s="2" t="str">
        <f>PROPER(TRIM(Raw_Data!D120))</f>
        <v>Patricia Moore</v>
      </c>
      <c r="E120" s="2" t="str">
        <f>UPPER(TRIM(Raw_Data!E120))</f>
        <v>P007</v>
      </c>
      <c r="F120" s="2" t="str">
        <f>PROPER(TRIM(Raw_Data!F120))</f>
        <v>Desk</v>
      </c>
      <c r="G120" s="2" t="str">
        <f>PROPER(TRIM(Raw_Data!G120))</f>
        <v>Furniture</v>
      </c>
      <c r="H120" s="2">
        <f>Raw_Data!H120</f>
        <v>2</v>
      </c>
      <c r="I120" s="4">
        <f>Raw_Data!I120</f>
        <v>299.99</v>
      </c>
      <c r="J120" s="2" t="str">
        <f>PROPER(TRIM(Raw_Data!J120))</f>
        <v>Debit Card</v>
      </c>
      <c r="K120" s="2" t="str">
        <f>PROPER(TRIM(Raw_Data!K120))</f>
        <v>Central</v>
      </c>
      <c r="L120" s="2" t="str">
        <f>PROPER(TRIM(Raw_Data!L120))</f>
        <v>Basic</v>
      </c>
      <c r="M120" s="3">
        <f>Raw_Data!M120</f>
        <v>44569</v>
      </c>
      <c r="N120" s="4">
        <f>Raw_Data!N120</f>
        <v>599.98</v>
      </c>
    </row>
    <row r="121" spans="1:14" ht="15" customHeight="1" x14ac:dyDescent="0.35">
      <c r="A121" s="2" t="str">
        <f>UPPER(TRIM(Raw_Data!A121))</f>
        <v>TRX0129</v>
      </c>
      <c r="B121" s="3">
        <f>Raw_Data!B121</f>
        <v>45564</v>
      </c>
      <c r="C121" s="2" t="str">
        <f>UPPER(TRIM(Raw_Data!C121))</f>
        <v>CUST015</v>
      </c>
      <c r="D121" s="2" t="str">
        <f>PROPER(TRIM(Raw_Data!D121))</f>
        <v>Richard Lee</v>
      </c>
      <c r="E121" s="2" t="str">
        <f>UPPER(TRIM(Raw_Data!E121))</f>
        <v>P006</v>
      </c>
      <c r="F121" s="2" t="str">
        <f>PROPER(TRIM(Raw_Data!F121))</f>
        <v>Office Chair</v>
      </c>
      <c r="G121" s="2" t="str">
        <f>PROPER(TRIM(Raw_Data!G121))</f>
        <v>Furniture</v>
      </c>
      <c r="H121" s="2">
        <f>Raw_Data!H121</f>
        <v>1</v>
      </c>
      <c r="I121" s="4">
        <f>Raw_Data!I121</f>
        <v>199.99</v>
      </c>
      <c r="J121" s="2" t="str">
        <f>PROPER(TRIM(Raw_Data!J121))</f>
        <v>Debit Card</v>
      </c>
      <c r="K121" s="2" t="str">
        <f>PROPER(TRIM(Raw_Data!K121))</f>
        <v>East</v>
      </c>
      <c r="L121" s="2" t="str">
        <f>PROPER(TRIM(Raw_Data!L121))</f>
        <v>Standard</v>
      </c>
      <c r="M121" s="3">
        <f>Raw_Data!M121</f>
        <v>44953</v>
      </c>
      <c r="N121" s="4">
        <f>Raw_Data!N121</f>
        <v>199.99</v>
      </c>
    </row>
    <row r="122" spans="1:14" ht="15" customHeight="1" x14ac:dyDescent="0.35">
      <c r="A122" s="2" t="str">
        <f>UPPER(TRIM(Raw_Data!A122))</f>
        <v>TRX0174</v>
      </c>
      <c r="B122" s="3">
        <f>Raw_Data!B122</f>
        <v>45566</v>
      </c>
      <c r="C122" s="2" t="str">
        <f>UPPER(TRIM(Raw_Data!C122))</f>
        <v>CUST003</v>
      </c>
      <c r="D122" s="2" t="str">
        <f>PROPER(TRIM(Raw_Data!D122))</f>
        <v>Michael Brown</v>
      </c>
      <c r="E122" s="2" t="str">
        <f>UPPER(TRIM(Raw_Data!E122))</f>
        <v>P007</v>
      </c>
      <c r="F122" s="2" t="str">
        <f>PROPER(TRIM(Raw_Data!F122))</f>
        <v>Desk</v>
      </c>
      <c r="G122" s="2" t="str">
        <f>PROPER(TRIM(Raw_Data!G122))</f>
        <v>Furniture</v>
      </c>
      <c r="H122" s="2">
        <f>Raw_Data!H122</f>
        <v>4</v>
      </c>
      <c r="I122" s="4">
        <f>Raw_Data!I122</f>
        <v>299.99</v>
      </c>
      <c r="J122" s="2" t="str">
        <f>PROPER(TRIM(Raw_Data!J122))</f>
        <v>Cash</v>
      </c>
      <c r="K122" s="2" t="str">
        <f>PROPER(TRIM(Raw_Data!K122))</f>
        <v>Central</v>
      </c>
      <c r="L122" s="2" t="str">
        <f>PROPER(TRIM(Raw_Data!L122))</f>
        <v>Premium</v>
      </c>
      <c r="M122" s="3">
        <f>Raw_Data!M122</f>
        <v>44460</v>
      </c>
      <c r="N122" s="4">
        <f>Raw_Data!N122</f>
        <v>1199.96</v>
      </c>
    </row>
    <row r="123" spans="1:14" ht="15" customHeight="1" x14ac:dyDescent="0.35">
      <c r="A123" s="2" t="str">
        <f>UPPER(TRIM(Raw_Data!A123))</f>
        <v>TRX0146</v>
      </c>
      <c r="B123" s="3">
        <f>Raw_Data!B123</f>
        <v>45572</v>
      </c>
      <c r="C123" s="2" t="str">
        <f>UPPER(TRIM(Raw_Data!C123))</f>
        <v>CUST010</v>
      </c>
      <c r="D123" s="2" t="str">
        <f>PROPER(TRIM(Raw_Data!D123))</f>
        <v>Maria Garcia</v>
      </c>
      <c r="E123" s="2" t="str">
        <f>UPPER(TRIM(Raw_Data!E123))</f>
        <v>P005</v>
      </c>
      <c r="F123" s="2" t="str">
        <f>PROPER(TRIM(Raw_Data!F123))</f>
        <v>Blender</v>
      </c>
      <c r="G123" s="2" t="str">
        <f>PROPER(TRIM(Raw_Data!G123))</f>
        <v>Appliances</v>
      </c>
      <c r="H123" s="2">
        <f>Raw_Data!H123</f>
        <v>2</v>
      </c>
      <c r="I123" s="4">
        <f>Raw_Data!I123</f>
        <v>59.99</v>
      </c>
      <c r="J123" s="2" t="str">
        <f>PROPER(TRIM(Raw_Data!J123))</f>
        <v>Credit Card</v>
      </c>
      <c r="K123" s="2" t="str">
        <f>PROPER(TRIM(Raw_Data!K123))</f>
        <v>Central</v>
      </c>
      <c r="L123" s="2" t="str">
        <f>PROPER(TRIM(Raw_Data!L123))</f>
        <v>Basic</v>
      </c>
      <c r="M123" s="3">
        <f>Raw_Data!M123</f>
        <v>44579</v>
      </c>
      <c r="N123" s="4">
        <f>Raw_Data!N123</f>
        <v>119.98</v>
      </c>
    </row>
    <row r="124" spans="1:14" ht="15" customHeight="1" x14ac:dyDescent="0.35">
      <c r="A124" s="2" t="str">
        <f>UPPER(TRIM(Raw_Data!A124))</f>
        <v>TRX0203</v>
      </c>
      <c r="B124" s="3">
        <f>Raw_Data!B124</f>
        <v>45572</v>
      </c>
      <c r="C124" s="2" t="str">
        <f>UPPER(TRIM(Raw_Data!C124))</f>
        <v>CUST032</v>
      </c>
      <c r="D124" s="2" t="str">
        <f>PROPER(TRIM(Raw_Data!D124))</f>
        <v>Sandra Phillips</v>
      </c>
      <c r="E124" s="2" t="str">
        <f>UPPER(TRIM(Raw_Data!E124))</f>
        <v>P003</v>
      </c>
      <c r="F124" s="2" t="str">
        <f>PROPER(TRIM(Raw_Data!F124))</f>
        <v>Headphones</v>
      </c>
      <c r="G124" s="2" t="str">
        <f>PROPER(TRIM(Raw_Data!G124))</f>
        <v>Electronics</v>
      </c>
      <c r="H124" s="2">
        <f>Raw_Data!H124</f>
        <v>4</v>
      </c>
      <c r="I124" s="4">
        <f>Raw_Data!I124</f>
        <v>149.99</v>
      </c>
      <c r="J124" s="2" t="str">
        <f>PROPER(TRIM(Raw_Data!J124))</f>
        <v>Credit Card</v>
      </c>
      <c r="K124" s="2" t="str">
        <f>PROPER(TRIM(Raw_Data!K124))</f>
        <v>North</v>
      </c>
      <c r="L124" s="2" t="str">
        <f>PROPER(TRIM(Raw_Data!L124))</f>
        <v>Premium</v>
      </c>
      <c r="M124" s="3">
        <f>Raw_Data!M124</f>
        <v>45076</v>
      </c>
      <c r="N124" s="4">
        <f>Raw_Data!N124</f>
        <v>599.96</v>
      </c>
    </row>
    <row r="125" spans="1:14" ht="15" customHeight="1" x14ac:dyDescent="0.35">
      <c r="A125" s="2" t="str">
        <f>UPPER(TRIM(Raw_Data!A125))</f>
        <v>TRX0055</v>
      </c>
      <c r="B125" s="3">
        <f>Raw_Data!B125</f>
        <v>45573</v>
      </c>
      <c r="C125" s="2" t="str">
        <f>UPPER(TRIM(Raw_Data!C125))</f>
        <v>CUST016</v>
      </c>
      <c r="D125" s="2" t="str">
        <f>PROPER(TRIM(Raw_Data!D125))</f>
        <v>Elizabeth Hall</v>
      </c>
      <c r="E125" s="2" t="str">
        <f>UPPER(TRIM(Raw_Data!E125))</f>
        <v>P002</v>
      </c>
      <c r="F125" s="2" t="str">
        <f>PROPER(TRIM(Raw_Data!F125))</f>
        <v>Smartphone</v>
      </c>
      <c r="G125" s="2" t="str">
        <f>PROPER(TRIM(Raw_Data!G125))</f>
        <v>Electronics</v>
      </c>
      <c r="H125" s="2">
        <f>Raw_Data!H125</f>
        <v>2</v>
      </c>
      <c r="I125" s="4">
        <f>Raw_Data!I125</f>
        <v>699.99</v>
      </c>
      <c r="J125" s="2" t="str">
        <f>PROPER(TRIM(Raw_Data!J125))</f>
        <v>Debit Card</v>
      </c>
      <c r="K125" s="2" t="str">
        <f>PROPER(TRIM(Raw_Data!K125))</f>
        <v>East</v>
      </c>
      <c r="L125" s="2" t="str">
        <f>PROPER(TRIM(Raw_Data!L125))</f>
        <v>Premium</v>
      </c>
      <c r="M125" s="3">
        <f>Raw_Data!M125</f>
        <v>45274</v>
      </c>
      <c r="N125" s="4">
        <f>Raw_Data!N125</f>
        <v>1399.98</v>
      </c>
    </row>
    <row r="126" spans="1:14" ht="15" customHeight="1" x14ac:dyDescent="0.35">
      <c r="A126" s="2" t="str">
        <f>UPPER(TRIM(Raw_Data!A126))</f>
        <v>TRX0218</v>
      </c>
      <c r="B126" s="3">
        <f>Raw_Data!B126</f>
        <v>45573</v>
      </c>
      <c r="C126" s="2" t="str">
        <f>UPPER(TRIM(Raw_Data!C126))</f>
        <v>CUST034</v>
      </c>
      <c r="D126" s="2" t="str">
        <f>PROPER(TRIM(Raw_Data!D126))</f>
        <v>Carol Evans</v>
      </c>
      <c r="E126" s="2" t="str">
        <f>UPPER(TRIM(Raw_Data!E126))</f>
        <v>P008</v>
      </c>
      <c r="F126" s="2" t="str">
        <f>PROPER(TRIM(Raw_Data!F126))</f>
        <v>Bookshelf</v>
      </c>
      <c r="G126" s="2" t="str">
        <f>PROPER(TRIM(Raw_Data!G126))</f>
        <v>Furniture</v>
      </c>
      <c r="H126" s="2">
        <f>Raw_Data!H126</f>
        <v>3</v>
      </c>
      <c r="I126" s="4">
        <f>Raw_Data!I126</f>
        <v>149.99</v>
      </c>
      <c r="J126" s="2" t="str">
        <f>PROPER(TRIM(Raw_Data!J126))</f>
        <v>Credit Card</v>
      </c>
      <c r="K126" s="2" t="str">
        <f>PROPER(TRIM(Raw_Data!K126))</f>
        <v>South</v>
      </c>
      <c r="L126" s="2" t="str">
        <f>PROPER(TRIM(Raw_Data!L126))</f>
        <v>Standard</v>
      </c>
      <c r="M126" s="3">
        <f>Raw_Data!M126</f>
        <v>44940</v>
      </c>
      <c r="N126" s="4">
        <f>Raw_Data!N126</f>
        <v>449.97</v>
      </c>
    </row>
    <row r="127" spans="1:14" ht="15" customHeight="1" x14ac:dyDescent="0.35">
      <c r="A127" s="2" t="str">
        <f>UPPER(TRIM(Raw_Data!A127))</f>
        <v>TRX0085</v>
      </c>
      <c r="B127" s="3">
        <f>Raw_Data!B127</f>
        <v>45576</v>
      </c>
      <c r="C127" s="2" t="str">
        <f>UPPER(TRIM(Raw_Data!C127))</f>
        <v>CUST019</v>
      </c>
      <c r="D127" s="2" t="str">
        <f>PROPER(TRIM(Raw_Data!D127))</f>
        <v>Daniel King</v>
      </c>
      <c r="E127" s="2" t="str">
        <f>UPPER(TRIM(Raw_Data!E127))</f>
        <v>P007</v>
      </c>
      <c r="F127" s="2" t="str">
        <f>PROPER(TRIM(Raw_Data!F127))</f>
        <v>Desk</v>
      </c>
      <c r="G127" s="2" t="str">
        <f>PROPER(TRIM(Raw_Data!G127))</f>
        <v>Furniture</v>
      </c>
      <c r="H127" s="2">
        <f>Raw_Data!H127</f>
        <v>3</v>
      </c>
      <c r="I127" s="4">
        <f>Raw_Data!I127</f>
        <v>299.99</v>
      </c>
      <c r="J127" s="2" t="str">
        <f>PROPER(TRIM(Raw_Data!J127))</f>
        <v>Credit Card</v>
      </c>
      <c r="K127" s="2" t="str">
        <f>PROPER(TRIM(Raw_Data!K127))</f>
        <v>Central</v>
      </c>
      <c r="L127" s="2" t="str">
        <f>PROPER(TRIM(Raw_Data!L127))</f>
        <v>Standard</v>
      </c>
      <c r="M127" s="3">
        <f>Raw_Data!M127</f>
        <v>45174</v>
      </c>
      <c r="N127" s="4">
        <f>Raw_Data!N127</f>
        <v>899.97</v>
      </c>
    </row>
    <row r="128" spans="1:14" ht="15" customHeight="1" x14ac:dyDescent="0.35">
      <c r="A128" s="2" t="str">
        <f>UPPER(TRIM(Raw_Data!A128))</f>
        <v>TRX0158</v>
      </c>
      <c r="B128" s="3">
        <f>Raw_Data!B128</f>
        <v>45579</v>
      </c>
      <c r="C128" s="2" t="str">
        <f>UPPER(TRIM(Raw_Data!C128))</f>
        <v>CUST027</v>
      </c>
      <c r="D128" s="2" t="str">
        <f>PROPER(TRIM(Raw_Data!D128))</f>
        <v>George Adams</v>
      </c>
      <c r="E128" s="2" t="str">
        <f>UPPER(TRIM(Raw_Data!E128))</f>
        <v>P001</v>
      </c>
      <c r="F128" s="2" t="str">
        <f>PROPER(TRIM(Raw_Data!F128))</f>
        <v>Laptop</v>
      </c>
      <c r="G128" s="2" t="str">
        <f>PROPER(TRIM(Raw_Data!G128))</f>
        <v>Electronics</v>
      </c>
      <c r="H128" s="2">
        <f>Raw_Data!H128</f>
        <v>3</v>
      </c>
      <c r="I128" s="4">
        <f>Raw_Data!I128</f>
        <v>899.99</v>
      </c>
      <c r="J128" s="2" t="str">
        <f>PROPER(TRIM(Raw_Data!J128))</f>
        <v>Paypal</v>
      </c>
      <c r="K128" s="2" t="str">
        <f>PROPER(TRIM(Raw_Data!K128))</f>
        <v>West</v>
      </c>
      <c r="L128" s="2" t="str">
        <f>PROPER(TRIM(Raw_Data!L128))</f>
        <v>Basic</v>
      </c>
      <c r="M128" s="3">
        <f>Raw_Data!M128</f>
        <v>45215</v>
      </c>
      <c r="N128" s="4">
        <f>Raw_Data!N128</f>
        <v>2699.97</v>
      </c>
    </row>
    <row r="129" spans="1:14" ht="15" customHeight="1" x14ac:dyDescent="0.35">
      <c r="A129" s="2" t="str">
        <f>UPPER(TRIM(Raw_Data!A129))</f>
        <v>TRX0173</v>
      </c>
      <c r="B129" s="3">
        <f>Raw_Data!B129</f>
        <v>45581</v>
      </c>
      <c r="C129" s="2" t="str">
        <f>UPPER(TRIM(Raw_Data!C129))</f>
        <v>CUST018</v>
      </c>
      <c r="D129" s="2" t="str">
        <f>PROPER(TRIM(Raw_Data!D129))</f>
        <v>Barbara Young</v>
      </c>
      <c r="E129" s="2" t="str">
        <f>UPPER(TRIM(Raw_Data!E129))</f>
        <v>P002</v>
      </c>
      <c r="F129" s="2" t="str">
        <f>PROPER(TRIM(Raw_Data!F129))</f>
        <v>Smartphone</v>
      </c>
      <c r="G129" s="2" t="str">
        <f>PROPER(TRIM(Raw_Data!G129))</f>
        <v>Electronics</v>
      </c>
      <c r="H129" s="2">
        <f>Raw_Data!H129</f>
        <v>5</v>
      </c>
      <c r="I129" s="4">
        <f>Raw_Data!I129</f>
        <v>699.99</v>
      </c>
      <c r="J129" s="2" t="str">
        <f>PROPER(TRIM(Raw_Data!J129))</f>
        <v>Cash</v>
      </c>
      <c r="K129" s="2" t="str">
        <f>PROPER(TRIM(Raw_Data!K129))</f>
        <v>East</v>
      </c>
      <c r="L129" s="2" t="str">
        <f>PROPER(TRIM(Raw_Data!L129))</f>
        <v>Standard</v>
      </c>
      <c r="M129" s="3">
        <f>Raw_Data!M129</f>
        <v>45008</v>
      </c>
      <c r="N129" s="4">
        <f>Raw_Data!N129</f>
        <v>3499.95</v>
      </c>
    </row>
    <row r="130" spans="1:14" ht="15" customHeight="1" x14ac:dyDescent="0.35">
      <c r="A130" s="2" t="str">
        <f>UPPER(TRIM(Raw_Data!A130))</f>
        <v>TRX0034</v>
      </c>
      <c r="B130" s="3">
        <f>Raw_Data!B130</f>
        <v>45581</v>
      </c>
      <c r="C130" s="2" t="str">
        <f>UPPER(TRIM(Raw_Data!C130))</f>
        <v>CUST049</v>
      </c>
      <c r="D130" s="2" t="str">
        <f>PROPER(TRIM(Raw_Data!D130))</f>
        <v>Raymond Ross</v>
      </c>
      <c r="E130" s="2" t="str">
        <f>UPPER(TRIM(Raw_Data!E130))</f>
        <v>P002</v>
      </c>
      <c r="F130" s="2" t="str">
        <f>PROPER(TRIM(Raw_Data!F130))</f>
        <v>Smartphone</v>
      </c>
      <c r="G130" s="2" t="str">
        <f>PROPER(TRIM(Raw_Data!G130))</f>
        <v>Electronics</v>
      </c>
      <c r="H130" s="2">
        <f>Raw_Data!H130</f>
        <v>4</v>
      </c>
      <c r="I130" s="4">
        <f>Raw_Data!I130</f>
        <v>699.99</v>
      </c>
      <c r="J130" s="2" t="str">
        <f>PROPER(TRIM(Raw_Data!J130))</f>
        <v>Credit Card</v>
      </c>
      <c r="K130" s="2" t="str">
        <f>PROPER(TRIM(Raw_Data!K130))</f>
        <v>Central</v>
      </c>
      <c r="L130" s="2" t="str">
        <f>PROPER(TRIM(Raw_Data!L130))</f>
        <v>Basic</v>
      </c>
      <c r="M130" s="3">
        <f>Raw_Data!M130</f>
        <v>45385</v>
      </c>
      <c r="N130" s="4">
        <f>Raw_Data!N130</f>
        <v>2799.96</v>
      </c>
    </row>
    <row r="131" spans="1:14" ht="15" customHeight="1" x14ac:dyDescent="0.35">
      <c r="A131" s="2" t="str">
        <f>UPPER(TRIM(Raw_Data!A131))</f>
        <v>TRX0189</v>
      </c>
      <c r="B131" s="3">
        <f>Raw_Data!B131</f>
        <v>45581</v>
      </c>
      <c r="C131" s="2" t="str">
        <f>UPPER(TRIM(Raw_Data!C131))</f>
        <v>CUST040</v>
      </c>
      <c r="D131" s="2" t="str">
        <f>PROPER(TRIM(Raw_Data!D131))</f>
        <v>Sharon Butler</v>
      </c>
      <c r="E131" s="2" t="str">
        <f>UPPER(TRIM(Raw_Data!E131))</f>
        <v>P001</v>
      </c>
      <c r="F131" s="2" t="str">
        <f>PROPER(TRIM(Raw_Data!F131))</f>
        <v>Laptop</v>
      </c>
      <c r="G131" s="2" t="str">
        <f>PROPER(TRIM(Raw_Data!G131))</f>
        <v>Electronics</v>
      </c>
      <c r="H131" s="2">
        <f>Raw_Data!H131</f>
        <v>1</v>
      </c>
      <c r="I131" s="4">
        <f>Raw_Data!I131</f>
        <v>899.99</v>
      </c>
      <c r="J131" s="2" t="str">
        <f>PROPER(TRIM(Raw_Data!J131))</f>
        <v>Credit Card</v>
      </c>
      <c r="K131" s="2" t="str">
        <f>PROPER(TRIM(Raw_Data!K131))</f>
        <v>East</v>
      </c>
      <c r="L131" s="2" t="str">
        <f>PROPER(TRIM(Raw_Data!L131))</f>
        <v>Standard</v>
      </c>
      <c r="M131" s="3">
        <f>Raw_Data!M131</f>
        <v>45369</v>
      </c>
      <c r="N131" s="4">
        <f>Raw_Data!N131</f>
        <v>899.99</v>
      </c>
    </row>
    <row r="132" spans="1:14" ht="15" customHeight="1" x14ac:dyDescent="0.35">
      <c r="A132" s="2" t="str">
        <f>UPPER(TRIM(Raw_Data!A132))</f>
        <v>TRX0190</v>
      </c>
      <c r="B132" s="3">
        <f>Raw_Data!B132</f>
        <v>45583</v>
      </c>
      <c r="C132" s="2" t="str">
        <f>UPPER(TRIM(Raw_Data!C132))</f>
        <v>CUST039</v>
      </c>
      <c r="D132" s="2" t="str">
        <f>PROPER(TRIM(Raw_Data!D132))</f>
        <v>Lawrence Reed</v>
      </c>
      <c r="E132" s="2" t="str">
        <f>UPPER(TRIM(Raw_Data!E132))</f>
        <v>P003</v>
      </c>
      <c r="F132" s="2" t="str">
        <f>PROPER(TRIM(Raw_Data!F132))</f>
        <v>Headphones</v>
      </c>
      <c r="G132" s="2" t="str">
        <f>PROPER(TRIM(Raw_Data!G132))</f>
        <v>Electronics</v>
      </c>
      <c r="H132" s="2">
        <f>Raw_Data!H132</f>
        <v>2</v>
      </c>
      <c r="I132" s="4">
        <f>Raw_Data!I132</f>
        <v>149.99</v>
      </c>
      <c r="J132" s="2" t="str">
        <f>PROPER(TRIM(Raw_Data!J132))</f>
        <v>Credit Card</v>
      </c>
      <c r="K132" s="2" t="str">
        <f>PROPER(TRIM(Raw_Data!K132))</f>
        <v>West</v>
      </c>
      <c r="L132" s="2" t="str">
        <f>PROPER(TRIM(Raw_Data!L132))</f>
        <v>Basic</v>
      </c>
      <c r="M132" s="3">
        <f>Raw_Data!M132</f>
        <v>44916</v>
      </c>
      <c r="N132" s="4">
        <f>Raw_Data!N132</f>
        <v>299.98</v>
      </c>
    </row>
    <row r="133" spans="1:14" ht="15" customHeight="1" x14ac:dyDescent="0.35">
      <c r="A133" s="2" t="str">
        <f>UPPER(TRIM(Raw_Data!A133))</f>
        <v>TRX0079</v>
      </c>
      <c r="B133" s="3">
        <f>Raw_Data!B133</f>
        <v>45586</v>
      </c>
      <c r="C133" s="2" t="str">
        <f>UPPER(TRIM(Raw_Data!C133))</f>
        <v>CUST039</v>
      </c>
      <c r="D133" s="2" t="str">
        <f>PROPER(TRIM(Raw_Data!D133))</f>
        <v>Lawrence Reed</v>
      </c>
      <c r="E133" s="2" t="str">
        <f>UPPER(TRIM(Raw_Data!E133))</f>
        <v>P010</v>
      </c>
      <c r="F133" s="2" t="str">
        <f>PROPER(TRIM(Raw_Data!F133))</f>
        <v>Keyboard</v>
      </c>
      <c r="G133" s="2" t="str">
        <f>PROPER(TRIM(Raw_Data!G133))</f>
        <v>Electronics</v>
      </c>
      <c r="H133" s="2">
        <f>Raw_Data!H133</f>
        <v>3</v>
      </c>
      <c r="I133" s="4">
        <f>Raw_Data!I133</f>
        <v>89.99</v>
      </c>
      <c r="J133" s="2" t="str">
        <f>PROPER(TRIM(Raw_Data!J133))</f>
        <v>Paypal</v>
      </c>
      <c r="K133" s="2" t="str">
        <f>PROPER(TRIM(Raw_Data!K133))</f>
        <v>Central</v>
      </c>
      <c r="L133" s="2" t="str">
        <f>PROPER(TRIM(Raw_Data!L133))</f>
        <v>Basic</v>
      </c>
      <c r="M133" s="3">
        <f>Raw_Data!M133</f>
        <v>44551</v>
      </c>
      <c r="N133" s="4">
        <f>Raw_Data!N133</f>
        <v>269.97000000000003</v>
      </c>
    </row>
    <row r="134" spans="1:14" ht="15" customHeight="1" x14ac:dyDescent="0.35">
      <c r="A134" s="2" t="str">
        <f>UPPER(TRIM(Raw_Data!A134))</f>
        <v>TRX0095</v>
      </c>
      <c r="B134" s="3">
        <f>Raw_Data!B134</f>
        <v>45588</v>
      </c>
      <c r="C134" s="2" t="str">
        <f>UPPER(TRIM(Raw_Data!C134))</f>
        <v>CUST046</v>
      </c>
      <c r="D134" s="2" t="str">
        <f>PROPER(TRIM(Raw_Data!D134))</f>
        <v>Kathleen Bennett</v>
      </c>
      <c r="E134" s="2" t="str">
        <f>UPPER(TRIM(Raw_Data!E134))</f>
        <v>P003</v>
      </c>
      <c r="F134" s="2" t="str">
        <f>PROPER(TRIM(Raw_Data!F134))</f>
        <v>Headphones</v>
      </c>
      <c r="G134" s="2" t="str">
        <f>PROPER(TRIM(Raw_Data!G134))</f>
        <v>Electronics</v>
      </c>
      <c r="H134" s="2">
        <f>Raw_Data!H134</f>
        <v>2</v>
      </c>
      <c r="I134" s="4">
        <f>Raw_Data!I134</f>
        <v>149.99</v>
      </c>
      <c r="J134" s="2" t="str">
        <f>PROPER(TRIM(Raw_Data!J134))</f>
        <v>Paypal</v>
      </c>
      <c r="K134" s="2" t="str">
        <f>PROPER(TRIM(Raw_Data!K134))</f>
        <v>Central</v>
      </c>
      <c r="L134" s="2" t="str">
        <f>PROPER(TRIM(Raw_Data!L134))</f>
        <v>Basic</v>
      </c>
      <c r="M134" s="3">
        <f>Raw_Data!M134</f>
        <v>44473</v>
      </c>
      <c r="N134" s="4">
        <f>Raw_Data!N134</f>
        <v>299.98</v>
      </c>
    </row>
    <row r="135" spans="1:14" ht="15" customHeight="1" x14ac:dyDescent="0.35">
      <c r="A135" s="2" t="str">
        <f>UPPER(TRIM(Raw_Data!A135))</f>
        <v>TRX0009</v>
      </c>
      <c r="B135" s="3">
        <f>Raw_Data!B135</f>
        <v>45588</v>
      </c>
      <c r="C135" s="2" t="str">
        <f>UPPER(TRIM(Raw_Data!C135))</f>
        <v>CUST004</v>
      </c>
      <c r="D135" s="2" t="str">
        <f>PROPER(TRIM(Raw_Data!D135))</f>
        <v>Sarah Davis</v>
      </c>
      <c r="E135" s="2" t="str">
        <f>UPPER(TRIM(Raw_Data!E135))</f>
        <v>P002</v>
      </c>
      <c r="F135" s="2" t="str">
        <f>PROPER(TRIM(Raw_Data!F135))</f>
        <v>Smartphone</v>
      </c>
      <c r="G135" s="2" t="str">
        <f>PROPER(TRIM(Raw_Data!G135))</f>
        <v>Electronics</v>
      </c>
      <c r="H135" s="2">
        <f>Raw_Data!H135</f>
        <v>2</v>
      </c>
      <c r="I135" s="4">
        <f>Raw_Data!I135</f>
        <v>699.99</v>
      </c>
      <c r="J135" s="2" t="str">
        <f>PROPER(TRIM(Raw_Data!J135))</f>
        <v>Cash</v>
      </c>
      <c r="K135" s="2" t="str">
        <f>PROPER(TRIM(Raw_Data!K135))</f>
        <v>Central</v>
      </c>
      <c r="L135" s="2" t="str">
        <f>PROPER(TRIM(Raw_Data!L135))</f>
        <v>Basic</v>
      </c>
      <c r="M135" s="3">
        <f>Raw_Data!M135</f>
        <v>44992</v>
      </c>
      <c r="N135" s="4">
        <f>Raw_Data!N135</f>
        <v>1399.98</v>
      </c>
    </row>
    <row r="136" spans="1:14" ht="15" customHeight="1" x14ac:dyDescent="0.35">
      <c r="A136" s="2" t="str">
        <f>UPPER(TRIM(Raw_Data!A136))</f>
        <v>TRX0167</v>
      </c>
      <c r="B136" s="3">
        <f>Raw_Data!B136</f>
        <v>45589</v>
      </c>
      <c r="C136" s="2" t="str">
        <f>UPPER(TRIM(Raw_Data!C136))</f>
        <v>CUST028</v>
      </c>
      <c r="D136" s="2" t="str">
        <f>PROPER(TRIM(Raw_Data!D136))</f>
        <v>Betty Campbell</v>
      </c>
      <c r="E136" s="2" t="str">
        <f>UPPER(TRIM(Raw_Data!E136))</f>
        <v>P002</v>
      </c>
      <c r="F136" s="2" t="str">
        <f>PROPER(TRIM(Raw_Data!F136))</f>
        <v>Smartphone</v>
      </c>
      <c r="G136" s="2" t="str">
        <f>PROPER(TRIM(Raw_Data!G136))</f>
        <v>Electronics</v>
      </c>
      <c r="H136" s="2">
        <f>Raw_Data!H136</f>
        <v>5</v>
      </c>
      <c r="I136" s="4">
        <f>Raw_Data!I136</f>
        <v>699.99</v>
      </c>
      <c r="J136" s="2" t="str">
        <f>PROPER(TRIM(Raw_Data!J136))</f>
        <v>Cash</v>
      </c>
      <c r="K136" s="2" t="str">
        <f>PROPER(TRIM(Raw_Data!K136))</f>
        <v>North</v>
      </c>
      <c r="L136" s="2" t="str">
        <f>PROPER(TRIM(Raw_Data!L136))</f>
        <v>Premium</v>
      </c>
      <c r="M136" s="3">
        <f>Raw_Data!M136</f>
        <v>44635</v>
      </c>
      <c r="N136" s="4">
        <f>Raw_Data!N136</f>
        <v>3499.95</v>
      </c>
    </row>
    <row r="137" spans="1:14" ht="15" customHeight="1" x14ac:dyDescent="0.35">
      <c r="A137" s="2" t="str">
        <f>UPPER(TRIM(Raw_Data!A137))</f>
        <v>TRX0153</v>
      </c>
      <c r="B137" s="3">
        <f>Raw_Data!B137</f>
        <v>45592</v>
      </c>
      <c r="C137" s="2" t="str">
        <f>UPPER(TRIM(Raw_Data!C137))</f>
        <v>CUST049</v>
      </c>
      <c r="D137" s="2" t="str">
        <f>PROPER(TRIM(Raw_Data!D137))</f>
        <v>Raymond Ross</v>
      </c>
      <c r="E137" s="2" t="str">
        <f>UPPER(TRIM(Raw_Data!E137))</f>
        <v>P010</v>
      </c>
      <c r="F137" s="2" t="str">
        <f>PROPER(TRIM(Raw_Data!F137))</f>
        <v>Keyboard</v>
      </c>
      <c r="G137" s="2" t="str">
        <f>PROPER(TRIM(Raw_Data!G137))</f>
        <v>Electronics</v>
      </c>
      <c r="H137" s="2">
        <f>Raw_Data!H137</f>
        <v>3</v>
      </c>
      <c r="I137" s="4">
        <f>Raw_Data!I137</f>
        <v>89.99</v>
      </c>
      <c r="J137" s="2" t="str">
        <f>PROPER(TRIM(Raw_Data!J137))</f>
        <v>Credit Card</v>
      </c>
      <c r="K137" s="2" t="str">
        <f>PROPER(TRIM(Raw_Data!K137))</f>
        <v>North</v>
      </c>
      <c r="L137" s="2" t="str">
        <f>PROPER(TRIM(Raw_Data!L137))</f>
        <v>Standard</v>
      </c>
      <c r="M137" s="3">
        <f>Raw_Data!M137</f>
        <v>44615</v>
      </c>
      <c r="N137" s="4">
        <f>Raw_Data!N137</f>
        <v>269.97000000000003</v>
      </c>
    </row>
    <row r="138" spans="1:14" ht="15" customHeight="1" x14ac:dyDescent="0.35">
      <c r="A138" s="2" t="str">
        <f>UPPER(TRIM(Raw_Data!A138))</f>
        <v>TRX0057</v>
      </c>
      <c r="B138" s="3">
        <f>Raw_Data!B138</f>
        <v>45597</v>
      </c>
      <c r="C138" s="2" t="str">
        <f>UPPER(TRIM(Raw_Data!C138))</f>
        <v>CUST023</v>
      </c>
      <c r="D138" s="2" t="str">
        <f>PROPER(TRIM(Raw_Data!D138))</f>
        <v>Paul Baker</v>
      </c>
      <c r="E138" s="2" t="str">
        <f>UPPER(TRIM(Raw_Data!E138))</f>
        <v>P009</v>
      </c>
      <c r="F138" s="2" t="str">
        <f>PROPER(TRIM(Raw_Data!F138))</f>
        <v>Monitor</v>
      </c>
      <c r="G138" s="2" t="str">
        <f>PROPER(TRIM(Raw_Data!G138))</f>
        <v>Electronics</v>
      </c>
      <c r="H138" s="2">
        <f>Raw_Data!H138</f>
        <v>5</v>
      </c>
      <c r="I138" s="4">
        <f>Raw_Data!I138</f>
        <v>249.99</v>
      </c>
      <c r="J138" s="2" t="str">
        <f>PROPER(TRIM(Raw_Data!J138))</f>
        <v>Credit Card</v>
      </c>
      <c r="K138" s="2" t="str">
        <f>PROPER(TRIM(Raw_Data!K138))</f>
        <v>South</v>
      </c>
      <c r="L138" s="2" t="str">
        <f>PROPER(TRIM(Raw_Data!L138))</f>
        <v>Standard</v>
      </c>
      <c r="M138" s="3">
        <f>Raw_Data!M138</f>
        <v>44881</v>
      </c>
      <c r="N138" s="4">
        <f>Raw_Data!N138</f>
        <v>1249.95</v>
      </c>
    </row>
    <row r="139" spans="1:14" ht="15" customHeight="1" x14ac:dyDescent="0.35">
      <c r="A139" s="2" t="str">
        <f>UPPER(TRIM(Raw_Data!A139))</f>
        <v>TRX0017</v>
      </c>
      <c r="B139" s="3">
        <f>Raw_Data!B139</f>
        <v>45600</v>
      </c>
      <c r="C139" s="2" t="str">
        <f>UPPER(TRIM(Raw_Data!C139))</f>
        <v>CUST026</v>
      </c>
      <c r="D139" s="2" t="str">
        <f>PROPER(TRIM(Raw_Data!D139))</f>
        <v>Karen Hill</v>
      </c>
      <c r="E139" s="2" t="str">
        <f>UPPER(TRIM(Raw_Data!E139))</f>
        <v>P007</v>
      </c>
      <c r="F139" s="2" t="str">
        <f>PROPER(TRIM(Raw_Data!F139))</f>
        <v>Desk</v>
      </c>
      <c r="G139" s="2" t="str">
        <f>PROPER(TRIM(Raw_Data!G139))</f>
        <v>Furniture</v>
      </c>
      <c r="H139" s="2">
        <f>Raw_Data!H139</f>
        <v>3</v>
      </c>
      <c r="I139" s="4">
        <f>Raw_Data!I139</f>
        <v>299.99</v>
      </c>
      <c r="J139" s="2" t="str">
        <f>PROPER(TRIM(Raw_Data!J139))</f>
        <v>Credit Card</v>
      </c>
      <c r="K139" s="2" t="str">
        <f>PROPER(TRIM(Raw_Data!K139))</f>
        <v>South</v>
      </c>
      <c r="L139" s="2" t="str">
        <f>PROPER(TRIM(Raw_Data!L139))</f>
        <v>Standard</v>
      </c>
      <c r="M139" s="3">
        <f>Raw_Data!M139</f>
        <v>44502</v>
      </c>
      <c r="N139" s="4">
        <f>Raw_Data!N139</f>
        <v>899.97</v>
      </c>
    </row>
    <row r="140" spans="1:14" ht="15" customHeight="1" x14ac:dyDescent="0.35">
      <c r="A140" s="2" t="str">
        <f>UPPER(TRIM(Raw_Data!A140))</f>
        <v>TRX0060</v>
      </c>
      <c r="B140" s="3">
        <f>Raw_Data!B140</f>
        <v>45603</v>
      </c>
      <c r="C140" s="2" t="str">
        <f>UPPER(TRIM(Raw_Data!C140))</f>
        <v>CUST012</v>
      </c>
      <c r="D140" s="2" t="str">
        <f>PROPER(TRIM(Raw_Data!D140))</f>
        <v>Patricia Moore</v>
      </c>
      <c r="E140" s="2" t="str">
        <f>UPPER(TRIM(Raw_Data!E140))</f>
        <v>P010</v>
      </c>
      <c r="F140" s="2" t="str">
        <f>PROPER(TRIM(Raw_Data!F140))</f>
        <v>Keyboard</v>
      </c>
      <c r="G140" s="2" t="str">
        <f>PROPER(TRIM(Raw_Data!G140))</f>
        <v>Electronics</v>
      </c>
      <c r="H140" s="2">
        <f>Raw_Data!H140</f>
        <v>3</v>
      </c>
      <c r="I140" s="4">
        <f>Raw_Data!I140</f>
        <v>89.99</v>
      </c>
      <c r="J140" s="2" t="str">
        <f>PROPER(TRIM(Raw_Data!J140))</f>
        <v>Credit Card</v>
      </c>
      <c r="K140" s="2" t="str">
        <f>PROPER(TRIM(Raw_Data!K140))</f>
        <v>North</v>
      </c>
      <c r="L140" s="2" t="str">
        <f>PROPER(TRIM(Raw_Data!L140))</f>
        <v>Premium</v>
      </c>
      <c r="M140" s="3">
        <f>Raw_Data!M140</f>
        <v>44420</v>
      </c>
      <c r="N140" s="4">
        <f>Raw_Data!N140</f>
        <v>269.97000000000003</v>
      </c>
    </row>
    <row r="141" spans="1:14" ht="15" customHeight="1" x14ac:dyDescent="0.35">
      <c r="A141" s="2" t="str">
        <f>UPPER(TRIM(Raw_Data!A141))</f>
        <v>TRX0109</v>
      </c>
      <c r="B141" s="3">
        <f>Raw_Data!B141</f>
        <v>45604</v>
      </c>
      <c r="C141" s="2" t="str">
        <f>UPPER(TRIM(Raw_Data!C141))</f>
        <v>CUST010</v>
      </c>
      <c r="D141" s="2" t="str">
        <f>PROPER(TRIM(Raw_Data!D141))</f>
        <v>Maria Garcia</v>
      </c>
      <c r="E141" s="2" t="str">
        <f>UPPER(TRIM(Raw_Data!E141))</f>
        <v>P008</v>
      </c>
      <c r="F141" s="2" t="str">
        <f>PROPER(TRIM(Raw_Data!F141))</f>
        <v>Bookshelf</v>
      </c>
      <c r="G141" s="2" t="str">
        <f>PROPER(TRIM(Raw_Data!G141))</f>
        <v>Furniture</v>
      </c>
      <c r="H141" s="2">
        <f>Raw_Data!H141</f>
        <v>2</v>
      </c>
      <c r="I141" s="4">
        <f>Raw_Data!I141</f>
        <v>149.99</v>
      </c>
      <c r="J141" s="2" t="str">
        <f>PROPER(TRIM(Raw_Data!J141))</f>
        <v>Credit Card</v>
      </c>
      <c r="K141" s="2" t="str">
        <f>PROPER(TRIM(Raw_Data!K141))</f>
        <v>West</v>
      </c>
      <c r="L141" s="2" t="str">
        <f>PROPER(TRIM(Raw_Data!L141))</f>
        <v>Premium</v>
      </c>
      <c r="M141" s="3">
        <f>Raw_Data!M141</f>
        <v>44848</v>
      </c>
      <c r="N141" s="4">
        <f>Raw_Data!N141</f>
        <v>299.98</v>
      </c>
    </row>
    <row r="142" spans="1:14" ht="15" customHeight="1" x14ac:dyDescent="0.35">
      <c r="A142" s="2" t="str">
        <f>UPPER(TRIM(Raw_Data!A142))</f>
        <v>TRX0090</v>
      </c>
      <c r="B142" s="3">
        <f>Raw_Data!B142</f>
        <v>45605</v>
      </c>
      <c r="C142" s="2" t="str">
        <f>UPPER(TRIM(Raw_Data!C142))</f>
        <v>CUST020</v>
      </c>
      <c r="D142" s="2" t="str">
        <f>PROPER(TRIM(Raw_Data!D142))</f>
        <v>Margaret Wright</v>
      </c>
      <c r="E142" s="2" t="str">
        <f>UPPER(TRIM(Raw_Data!E142))</f>
        <v>P009</v>
      </c>
      <c r="F142" s="2" t="str">
        <f>PROPER(TRIM(Raw_Data!F142))</f>
        <v>Monitor</v>
      </c>
      <c r="G142" s="2" t="str">
        <f>PROPER(TRIM(Raw_Data!G142))</f>
        <v>Electronics</v>
      </c>
      <c r="H142" s="2">
        <f>Raw_Data!H142</f>
        <v>1</v>
      </c>
      <c r="I142" s="4">
        <f>Raw_Data!I142</f>
        <v>249.99</v>
      </c>
      <c r="J142" s="2" t="str">
        <f>PROPER(TRIM(Raw_Data!J142))</f>
        <v>Credit Card</v>
      </c>
      <c r="K142" s="2" t="str">
        <f>PROPER(TRIM(Raw_Data!K142))</f>
        <v>North</v>
      </c>
      <c r="L142" s="2" t="str">
        <f>PROPER(TRIM(Raw_Data!L142))</f>
        <v>Premium</v>
      </c>
      <c r="M142" s="3">
        <f>Raw_Data!M142</f>
        <v>44828</v>
      </c>
      <c r="N142" s="4">
        <f>Raw_Data!N142</f>
        <v>249.99</v>
      </c>
    </row>
    <row r="143" spans="1:14" ht="15" customHeight="1" x14ac:dyDescent="0.35">
      <c r="A143" s="2" t="str">
        <f>UPPER(TRIM(Raw_Data!A143))</f>
        <v>TRX0035</v>
      </c>
      <c r="B143" s="3">
        <f>Raw_Data!B143</f>
        <v>45607</v>
      </c>
      <c r="C143" s="2" t="str">
        <f>UPPER(TRIM(Raw_Data!C143))</f>
        <v>CUST041</v>
      </c>
      <c r="D143" s="2" t="str">
        <f>PROPER(TRIM(Raw_Data!D143))</f>
        <v>Peter Richardson</v>
      </c>
      <c r="E143" s="2" t="str">
        <f>UPPER(TRIM(Raw_Data!E143))</f>
        <v>P003</v>
      </c>
      <c r="F143" s="2" t="str">
        <f>PROPER(TRIM(Raw_Data!F143))</f>
        <v>Headphones</v>
      </c>
      <c r="G143" s="2" t="str">
        <f>PROPER(TRIM(Raw_Data!G143))</f>
        <v>Electronics</v>
      </c>
      <c r="H143" s="2">
        <f>Raw_Data!H143</f>
        <v>3</v>
      </c>
      <c r="I143" s="4">
        <f>Raw_Data!I143</f>
        <v>149.99</v>
      </c>
      <c r="J143" s="2" t="str">
        <f>PROPER(TRIM(Raw_Data!J143))</f>
        <v>Cash</v>
      </c>
      <c r="K143" s="2" t="str">
        <f>PROPER(TRIM(Raw_Data!K143))</f>
        <v>North</v>
      </c>
      <c r="L143" s="2" t="str">
        <f>PROPER(TRIM(Raw_Data!L143))</f>
        <v>Basic</v>
      </c>
      <c r="M143" s="3">
        <f>Raw_Data!M143</f>
        <v>44769</v>
      </c>
      <c r="N143" s="4">
        <f>Raw_Data!N143</f>
        <v>449.97</v>
      </c>
    </row>
    <row r="144" spans="1:14" ht="15" customHeight="1" x14ac:dyDescent="0.35">
      <c r="A144" s="2" t="str">
        <f>UPPER(TRIM(Raw_Data!A144))</f>
        <v>TRX0172</v>
      </c>
      <c r="B144" s="3">
        <f>Raw_Data!B144</f>
        <v>45607</v>
      </c>
      <c r="C144" s="2" t="str">
        <f>UPPER(TRIM(Raw_Data!C144))</f>
        <v>CUST023</v>
      </c>
      <c r="D144" s="2" t="str">
        <f>PROPER(TRIM(Raw_Data!D144))</f>
        <v>Paul Baker</v>
      </c>
      <c r="E144" s="2" t="str">
        <f>UPPER(TRIM(Raw_Data!E144))</f>
        <v>P005</v>
      </c>
      <c r="F144" s="2" t="str">
        <f>PROPER(TRIM(Raw_Data!F144))</f>
        <v>Blender</v>
      </c>
      <c r="G144" s="2" t="str">
        <f>PROPER(TRIM(Raw_Data!G144))</f>
        <v>Appliances</v>
      </c>
      <c r="H144" s="2">
        <f>Raw_Data!H144</f>
        <v>5</v>
      </c>
      <c r="I144" s="4">
        <f>Raw_Data!I144</f>
        <v>59.99</v>
      </c>
      <c r="J144" s="2" t="str">
        <f>PROPER(TRIM(Raw_Data!J144))</f>
        <v>Paypal</v>
      </c>
      <c r="K144" s="2" t="str">
        <f>PROPER(TRIM(Raw_Data!K144))</f>
        <v>West</v>
      </c>
      <c r="L144" s="2" t="str">
        <f>PROPER(TRIM(Raw_Data!L144))</f>
        <v>Premium</v>
      </c>
      <c r="M144" s="3">
        <f>Raw_Data!M144</f>
        <v>44694</v>
      </c>
      <c r="N144" s="4">
        <f>Raw_Data!N144</f>
        <v>299.95</v>
      </c>
    </row>
    <row r="145" spans="1:14" ht="15" customHeight="1" x14ac:dyDescent="0.35">
      <c r="A145" s="2" t="str">
        <f>UPPER(TRIM(Raw_Data!A145))</f>
        <v>TRX0076</v>
      </c>
      <c r="B145" s="3">
        <f>Raw_Data!B145</f>
        <v>45607</v>
      </c>
      <c r="C145" s="2" t="str">
        <f>UPPER(TRIM(Raw_Data!C145))</f>
        <v>CUST012</v>
      </c>
      <c r="D145" s="2" t="str">
        <f>PROPER(TRIM(Raw_Data!D145))</f>
        <v>Patricia Moore</v>
      </c>
      <c r="E145" s="2" t="str">
        <f>UPPER(TRIM(Raw_Data!E145))</f>
        <v>P009</v>
      </c>
      <c r="F145" s="2" t="str">
        <f>PROPER(TRIM(Raw_Data!F145))</f>
        <v>Monitor</v>
      </c>
      <c r="G145" s="2" t="str">
        <f>PROPER(TRIM(Raw_Data!G145))</f>
        <v>Electronics</v>
      </c>
      <c r="H145" s="2">
        <f>Raw_Data!H145</f>
        <v>4</v>
      </c>
      <c r="I145" s="4">
        <f>Raw_Data!I145</f>
        <v>249.99</v>
      </c>
      <c r="J145" s="2" t="str">
        <f>PROPER(TRIM(Raw_Data!J145))</f>
        <v>Credit Card</v>
      </c>
      <c r="K145" s="2" t="str">
        <f>PROPER(TRIM(Raw_Data!K145))</f>
        <v>West</v>
      </c>
      <c r="L145" s="2" t="str">
        <f>PROPER(TRIM(Raw_Data!L145))</f>
        <v>Standard</v>
      </c>
      <c r="M145" s="3">
        <f>Raw_Data!M145</f>
        <v>44659</v>
      </c>
      <c r="N145" s="4">
        <f>Raw_Data!N145</f>
        <v>999.96</v>
      </c>
    </row>
    <row r="146" spans="1:14" ht="15" customHeight="1" x14ac:dyDescent="0.35">
      <c r="A146" s="2" t="str">
        <f>UPPER(TRIM(Raw_Data!A146))</f>
        <v>TRX0210</v>
      </c>
      <c r="B146" s="3">
        <f>Raw_Data!B146</f>
        <v>45608</v>
      </c>
      <c r="C146" s="2" t="str">
        <f>UPPER(TRIM(Raw_Data!C146))</f>
        <v>CUST004</v>
      </c>
      <c r="D146" s="2" t="str">
        <f>PROPER(TRIM(Raw_Data!D146))</f>
        <v>Sarah Davis</v>
      </c>
      <c r="E146" s="2" t="str">
        <f>UPPER(TRIM(Raw_Data!E146))</f>
        <v>P008</v>
      </c>
      <c r="F146" s="2" t="str">
        <f>PROPER(TRIM(Raw_Data!F146))</f>
        <v>Bookshelf</v>
      </c>
      <c r="G146" s="2" t="str">
        <f>PROPER(TRIM(Raw_Data!G146))</f>
        <v>Furniture</v>
      </c>
      <c r="H146" s="2">
        <f>Raw_Data!H146</f>
        <v>5</v>
      </c>
      <c r="I146" s="4">
        <f>Raw_Data!I146</f>
        <v>149.99</v>
      </c>
      <c r="J146" s="2" t="str">
        <f>PROPER(TRIM(Raw_Data!J146))</f>
        <v>Paypal</v>
      </c>
      <c r="K146" s="2" t="str">
        <f>PROPER(TRIM(Raw_Data!K146))</f>
        <v>Central</v>
      </c>
      <c r="L146" s="2" t="str">
        <f>PROPER(TRIM(Raw_Data!L146))</f>
        <v>Basic</v>
      </c>
      <c r="M146" s="3">
        <f>Raw_Data!M146</f>
        <v>44901</v>
      </c>
      <c r="N146" s="4">
        <f>Raw_Data!N146</f>
        <v>749.95</v>
      </c>
    </row>
    <row r="147" spans="1:14" ht="15" customHeight="1" x14ac:dyDescent="0.35">
      <c r="A147" s="2" t="str">
        <f>UPPER(TRIM(Raw_Data!A147))</f>
        <v>TRX0149</v>
      </c>
      <c r="B147" s="3">
        <f>Raw_Data!B147</f>
        <v>45608</v>
      </c>
      <c r="C147" s="2" t="str">
        <f>UPPER(TRIM(Raw_Data!C147))</f>
        <v>CUST027</v>
      </c>
      <c r="D147" s="2" t="str">
        <f>PROPER(TRIM(Raw_Data!D147))</f>
        <v>George Adams</v>
      </c>
      <c r="E147" s="2" t="str">
        <f>UPPER(TRIM(Raw_Data!E147))</f>
        <v>P005</v>
      </c>
      <c r="F147" s="2" t="str">
        <f>PROPER(TRIM(Raw_Data!F147))</f>
        <v>Blender</v>
      </c>
      <c r="G147" s="2" t="str">
        <f>PROPER(TRIM(Raw_Data!G147))</f>
        <v>Appliances</v>
      </c>
      <c r="H147" s="2">
        <f>Raw_Data!H147</f>
        <v>3</v>
      </c>
      <c r="I147" s="4">
        <f>Raw_Data!I147</f>
        <v>59.99</v>
      </c>
      <c r="J147" s="2" t="str">
        <f>PROPER(TRIM(Raw_Data!J147))</f>
        <v>Debit Card</v>
      </c>
      <c r="K147" s="2" t="str">
        <f>PROPER(TRIM(Raw_Data!K147))</f>
        <v>South</v>
      </c>
      <c r="L147" s="2" t="str">
        <f>PROPER(TRIM(Raw_Data!L147))</f>
        <v>Standard</v>
      </c>
      <c r="M147" s="3">
        <f>Raw_Data!M147</f>
        <v>45260</v>
      </c>
      <c r="N147" s="4">
        <f>Raw_Data!N147</f>
        <v>179.97</v>
      </c>
    </row>
    <row r="148" spans="1:14" ht="15" customHeight="1" x14ac:dyDescent="0.35">
      <c r="A148" s="2" t="str">
        <f>UPPER(TRIM(Raw_Data!A148))</f>
        <v>TRX0073</v>
      </c>
      <c r="B148" s="3">
        <f>Raw_Data!B148</f>
        <v>45613</v>
      </c>
      <c r="C148" s="2" t="str">
        <f>UPPER(TRIM(Raw_Data!C148))</f>
        <v>CUST032</v>
      </c>
      <c r="D148" s="2" t="str">
        <f>PROPER(TRIM(Raw_Data!D148))</f>
        <v>Sandra Phillips</v>
      </c>
      <c r="E148" s="2" t="str">
        <f>UPPER(TRIM(Raw_Data!E148))</f>
        <v>P008</v>
      </c>
      <c r="F148" s="2" t="str">
        <f>PROPER(TRIM(Raw_Data!F148))</f>
        <v>Bookshelf</v>
      </c>
      <c r="G148" s="2" t="str">
        <f>PROPER(TRIM(Raw_Data!G148))</f>
        <v>Furniture</v>
      </c>
      <c r="H148" s="2">
        <f>Raw_Data!H148</f>
        <v>5</v>
      </c>
      <c r="I148" s="4">
        <f>Raw_Data!I148</f>
        <v>149.99</v>
      </c>
      <c r="J148" s="2" t="str">
        <f>PROPER(TRIM(Raw_Data!J148))</f>
        <v>Cash</v>
      </c>
      <c r="K148" s="2" t="str">
        <f>PROPER(TRIM(Raw_Data!K148))</f>
        <v>North</v>
      </c>
      <c r="L148" s="2" t="str">
        <f>PROPER(TRIM(Raw_Data!L148))</f>
        <v>Basic</v>
      </c>
      <c r="M148" s="3">
        <f>Raw_Data!M148</f>
        <v>44869</v>
      </c>
      <c r="N148" s="4">
        <f>Raw_Data!N148</f>
        <v>749.95</v>
      </c>
    </row>
    <row r="149" spans="1:14" ht="15" customHeight="1" x14ac:dyDescent="0.35">
      <c r="A149" s="2" t="str">
        <f>UPPER(TRIM(Raw_Data!A149))</f>
        <v>TRX0033</v>
      </c>
      <c r="B149" s="3">
        <f>Raw_Data!B149</f>
        <v>45613</v>
      </c>
      <c r="C149" s="2" t="str">
        <f>UPPER(TRIM(Raw_Data!C149))</f>
        <v>CUST025</v>
      </c>
      <c r="D149" s="2" t="str">
        <f>PROPER(TRIM(Raw_Data!D149))</f>
        <v>Mark Carter</v>
      </c>
      <c r="E149" s="2" t="str">
        <f>UPPER(TRIM(Raw_Data!E149))</f>
        <v>P002</v>
      </c>
      <c r="F149" s="2" t="str">
        <f>PROPER(TRIM(Raw_Data!F149))</f>
        <v>Smartphone</v>
      </c>
      <c r="G149" s="2" t="str">
        <f>PROPER(TRIM(Raw_Data!G149))</f>
        <v>Electronics</v>
      </c>
      <c r="H149" s="2">
        <f>Raw_Data!H149</f>
        <v>2</v>
      </c>
      <c r="I149" s="4">
        <f>Raw_Data!I149</f>
        <v>699.99</v>
      </c>
      <c r="J149" s="2" t="str">
        <f>PROPER(TRIM(Raw_Data!J149))</f>
        <v>Paypal</v>
      </c>
      <c r="K149" s="2" t="str">
        <f>PROPER(TRIM(Raw_Data!K149))</f>
        <v>West</v>
      </c>
      <c r="L149" s="2" t="str">
        <f>PROPER(TRIM(Raw_Data!L149))</f>
        <v>Standard</v>
      </c>
      <c r="M149" s="3">
        <f>Raw_Data!M149</f>
        <v>44770</v>
      </c>
      <c r="N149" s="4">
        <f>Raw_Data!N149</f>
        <v>1399.98</v>
      </c>
    </row>
    <row r="150" spans="1:14" ht="15" customHeight="1" x14ac:dyDescent="0.35">
      <c r="A150" s="2" t="str">
        <f>UPPER(TRIM(Raw_Data!A150))</f>
        <v>TRX0160</v>
      </c>
      <c r="B150" s="3">
        <f>Raw_Data!B150</f>
        <v>45617</v>
      </c>
      <c r="C150" s="2" t="str">
        <f>UPPER(TRIM(Raw_Data!C150))</f>
        <v>CUST029</v>
      </c>
      <c r="D150" s="2" t="str">
        <f>PROPER(TRIM(Raw_Data!D150))</f>
        <v>Edward Mitchell</v>
      </c>
      <c r="E150" s="2" t="str">
        <f>UPPER(TRIM(Raw_Data!E150))</f>
        <v>P006</v>
      </c>
      <c r="F150" s="2" t="str">
        <f>PROPER(TRIM(Raw_Data!F150))</f>
        <v>Office Chair</v>
      </c>
      <c r="G150" s="2" t="str">
        <f>PROPER(TRIM(Raw_Data!G150))</f>
        <v>Furniture</v>
      </c>
      <c r="H150" s="2">
        <f>Raw_Data!H150</f>
        <v>4</v>
      </c>
      <c r="I150" s="4">
        <f>Raw_Data!I150</f>
        <v>199.99</v>
      </c>
      <c r="J150" s="2" t="str">
        <f>PROPER(TRIM(Raw_Data!J150))</f>
        <v>Debit Card</v>
      </c>
      <c r="K150" s="2" t="str">
        <f>PROPER(TRIM(Raw_Data!K150))</f>
        <v>Central</v>
      </c>
      <c r="L150" s="2" t="str">
        <f>PROPER(TRIM(Raw_Data!L150))</f>
        <v>Premium</v>
      </c>
      <c r="M150" s="3">
        <f>Raw_Data!M150</f>
        <v>44427</v>
      </c>
      <c r="N150" s="4">
        <f>Raw_Data!N150</f>
        <v>799.96</v>
      </c>
    </row>
    <row r="151" spans="1:14" ht="15" customHeight="1" x14ac:dyDescent="0.35">
      <c r="A151" s="2" t="str">
        <f>UPPER(TRIM(Raw_Data!A151))</f>
        <v>TRX0145</v>
      </c>
      <c r="B151" s="3">
        <f>Raw_Data!B151</f>
        <v>45619</v>
      </c>
      <c r="C151" s="2" t="str">
        <f>UPPER(TRIM(Raw_Data!C151))</f>
        <v>CUST033</v>
      </c>
      <c r="D151" s="2" t="str">
        <f>PROPER(TRIM(Raw_Data!D151))</f>
        <v>Frank Torres</v>
      </c>
      <c r="E151" s="2" t="str">
        <f>UPPER(TRIM(Raw_Data!E151))</f>
        <v>P005</v>
      </c>
      <c r="F151" s="2" t="str">
        <f>PROPER(TRIM(Raw_Data!F151))</f>
        <v>Blender</v>
      </c>
      <c r="G151" s="2" t="str">
        <f>PROPER(TRIM(Raw_Data!G151))</f>
        <v>Appliances</v>
      </c>
      <c r="H151" s="2">
        <f>Raw_Data!H151</f>
        <v>1</v>
      </c>
      <c r="I151" s="4">
        <f>Raw_Data!I151</f>
        <v>59.99</v>
      </c>
      <c r="J151" s="2" t="str">
        <f>PROPER(TRIM(Raw_Data!J151))</f>
        <v>Debit Card</v>
      </c>
      <c r="K151" s="2" t="str">
        <f>PROPER(TRIM(Raw_Data!K151))</f>
        <v>West</v>
      </c>
      <c r="L151" s="2" t="str">
        <f>PROPER(TRIM(Raw_Data!L151))</f>
        <v>Standard</v>
      </c>
      <c r="M151" s="3">
        <f>Raw_Data!M151</f>
        <v>44560</v>
      </c>
      <c r="N151" s="4">
        <f>Raw_Data!N151</f>
        <v>59.99</v>
      </c>
    </row>
    <row r="152" spans="1:14" ht="15" customHeight="1" x14ac:dyDescent="0.35">
      <c r="A152" s="2" t="str">
        <f>UPPER(TRIM(Raw_Data!A152))</f>
        <v>TRX0148</v>
      </c>
      <c r="B152" s="3">
        <f>Raw_Data!B152</f>
        <v>45619</v>
      </c>
      <c r="C152" s="2" t="str">
        <f>UPPER(TRIM(Raw_Data!C152))</f>
        <v>CUST004</v>
      </c>
      <c r="D152" s="2" t="str">
        <f>PROPER(TRIM(Raw_Data!D152))</f>
        <v>Sarah Davis</v>
      </c>
      <c r="E152" s="2" t="str">
        <f>UPPER(TRIM(Raw_Data!E152))</f>
        <v>P002</v>
      </c>
      <c r="F152" s="2" t="str">
        <f>PROPER(TRIM(Raw_Data!F152))</f>
        <v>Smartphone</v>
      </c>
      <c r="G152" s="2" t="str">
        <f>PROPER(TRIM(Raw_Data!G152))</f>
        <v>Electronics</v>
      </c>
      <c r="H152" s="2">
        <f>Raw_Data!H152</f>
        <v>3</v>
      </c>
      <c r="I152" s="4">
        <f>Raw_Data!I152</f>
        <v>699.99</v>
      </c>
      <c r="J152" s="2" t="str">
        <f>PROPER(TRIM(Raw_Data!J152))</f>
        <v>Paypal</v>
      </c>
      <c r="K152" s="2" t="str">
        <f>PROPER(TRIM(Raw_Data!K152))</f>
        <v>West</v>
      </c>
      <c r="L152" s="2" t="str">
        <f>PROPER(TRIM(Raw_Data!L152))</f>
        <v>Standard</v>
      </c>
      <c r="M152" s="3">
        <f>Raw_Data!M152</f>
        <v>44583</v>
      </c>
      <c r="N152" s="4">
        <f>Raw_Data!N152</f>
        <v>2099.9699999999998</v>
      </c>
    </row>
    <row r="153" spans="1:14" ht="15" customHeight="1" x14ac:dyDescent="0.35">
      <c r="A153" s="2" t="str">
        <f>UPPER(TRIM(Raw_Data!A153))</f>
        <v>TRX0012</v>
      </c>
      <c r="B153" s="3">
        <f>Raw_Data!B153</f>
        <v>45622</v>
      </c>
      <c r="C153" s="2" t="str">
        <f>UPPER(TRIM(Raw_Data!C153))</f>
        <v>CUST045</v>
      </c>
      <c r="D153" s="2" t="str">
        <f>PROPER(TRIM(Raw_Data!D153))</f>
        <v>Douglas Watson</v>
      </c>
      <c r="E153" s="2" t="str">
        <f>UPPER(TRIM(Raw_Data!E153))</f>
        <v>P009</v>
      </c>
      <c r="F153" s="2" t="str">
        <f>PROPER(TRIM(Raw_Data!F153))</f>
        <v>Monitor</v>
      </c>
      <c r="G153" s="2" t="str">
        <f>PROPER(TRIM(Raw_Data!G153))</f>
        <v>Electronics</v>
      </c>
      <c r="H153" s="2">
        <f>Raw_Data!H153</f>
        <v>5</v>
      </c>
      <c r="I153" s="4">
        <f>Raw_Data!I153</f>
        <v>249.99</v>
      </c>
      <c r="J153" s="2" t="str">
        <f>PROPER(TRIM(Raw_Data!J153))</f>
        <v>Credit Card</v>
      </c>
      <c r="K153" s="2" t="str">
        <f>PROPER(TRIM(Raw_Data!K153))</f>
        <v>North</v>
      </c>
      <c r="L153" s="2" t="str">
        <f>PROPER(TRIM(Raw_Data!L153))</f>
        <v>Basic</v>
      </c>
      <c r="M153" s="3">
        <f>Raw_Data!M153</f>
        <v>44873</v>
      </c>
      <c r="N153" s="4">
        <f>Raw_Data!N153</f>
        <v>1249.95</v>
      </c>
    </row>
    <row r="154" spans="1:14" ht="15" customHeight="1" x14ac:dyDescent="0.35">
      <c r="A154" s="2" t="str">
        <f>UPPER(TRIM(Raw_Data!A154))</f>
        <v>TRX0206</v>
      </c>
      <c r="B154" s="3">
        <f>Raw_Data!B154</f>
        <v>45623</v>
      </c>
      <c r="C154" s="2" t="str">
        <f>UPPER(TRIM(Raw_Data!C154))</f>
        <v>CUST014</v>
      </c>
      <c r="D154" s="2" t="str">
        <f>PROPER(TRIM(Raw_Data!D154))</f>
        <v>Linda Martin</v>
      </c>
      <c r="E154" s="2" t="str">
        <f>UPPER(TRIM(Raw_Data!E154))</f>
        <v>P008</v>
      </c>
      <c r="F154" s="2" t="str">
        <f>PROPER(TRIM(Raw_Data!F154))</f>
        <v>Bookshelf</v>
      </c>
      <c r="G154" s="2" t="str">
        <f>PROPER(TRIM(Raw_Data!G154))</f>
        <v>Furniture</v>
      </c>
      <c r="H154" s="2">
        <f>Raw_Data!H154</f>
        <v>2</v>
      </c>
      <c r="I154" s="4">
        <f>Raw_Data!I154</f>
        <v>149.99</v>
      </c>
      <c r="J154" s="2" t="str">
        <f>PROPER(TRIM(Raw_Data!J154))</f>
        <v>Cash</v>
      </c>
      <c r="K154" s="2" t="str">
        <f>PROPER(TRIM(Raw_Data!K154))</f>
        <v>South</v>
      </c>
      <c r="L154" s="2" t="str">
        <f>PROPER(TRIM(Raw_Data!L154))</f>
        <v>Standard</v>
      </c>
      <c r="M154" s="3">
        <f>Raw_Data!M154</f>
        <v>45101</v>
      </c>
      <c r="N154" s="4">
        <f>Raw_Data!N154</f>
        <v>299.98</v>
      </c>
    </row>
    <row r="155" spans="1:14" ht="15" customHeight="1" x14ac:dyDescent="0.35">
      <c r="A155" s="2" t="str">
        <f>UPPER(TRIM(Raw_Data!A155))</f>
        <v>TRX0045</v>
      </c>
      <c r="B155" s="3">
        <f>Raw_Data!B155</f>
        <v>45627</v>
      </c>
      <c r="C155" s="2" t="str">
        <f>UPPER(TRIM(Raw_Data!C155))</f>
        <v>CUST021</v>
      </c>
      <c r="D155" s="2" t="str">
        <f>PROPER(TRIM(Raw_Data!D155))</f>
        <v>Kevin Scott</v>
      </c>
      <c r="E155" s="2" t="str">
        <f>UPPER(TRIM(Raw_Data!E155))</f>
        <v>P007</v>
      </c>
      <c r="F155" s="2" t="str">
        <f>PROPER(TRIM(Raw_Data!F155))</f>
        <v>Desk</v>
      </c>
      <c r="G155" s="2" t="str">
        <f>PROPER(TRIM(Raw_Data!G155))</f>
        <v>Furniture</v>
      </c>
      <c r="H155" s="2">
        <f>Raw_Data!H155</f>
        <v>3</v>
      </c>
      <c r="I155" s="4">
        <f>Raw_Data!I155</f>
        <v>299.99</v>
      </c>
      <c r="J155" s="2" t="str">
        <f>PROPER(TRIM(Raw_Data!J155))</f>
        <v>Cash</v>
      </c>
      <c r="K155" s="2" t="str">
        <f>PROPER(TRIM(Raw_Data!K155))</f>
        <v>South</v>
      </c>
      <c r="L155" s="2" t="str">
        <f>PROPER(TRIM(Raw_Data!L155))</f>
        <v>Premium</v>
      </c>
      <c r="M155" s="3">
        <f>Raw_Data!M155</f>
        <v>44659</v>
      </c>
      <c r="N155" s="4">
        <f>Raw_Data!N155</f>
        <v>899.97</v>
      </c>
    </row>
    <row r="156" spans="1:14" ht="15" customHeight="1" x14ac:dyDescent="0.35">
      <c r="A156" s="2" t="str">
        <f>UPPER(TRIM(Raw_Data!A156))</f>
        <v>TRX0094</v>
      </c>
      <c r="B156" s="3">
        <f>Raw_Data!B156</f>
        <v>45627</v>
      </c>
      <c r="C156" s="2" t="str">
        <f>UPPER(TRIM(Raw_Data!C156))</f>
        <v>CUST017</v>
      </c>
      <c r="D156" s="2" t="str">
        <f>PROPER(TRIM(Raw_Data!D156))</f>
        <v>Charles Allen</v>
      </c>
      <c r="E156" s="2" t="str">
        <f>UPPER(TRIM(Raw_Data!E156))</f>
        <v>P009</v>
      </c>
      <c r="F156" s="2" t="str">
        <f>PROPER(TRIM(Raw_Data!F156))</f>
        <v>Monitor</v>
      </c>
      <c r="G156" s="2" t="str">
        <f>PROPER(TRIM(Raw_Data!G156))</f>
        <v>Electronics</v>
      </c>
      <c r="H156" s="2">
        <f>Raw_Data!H156</f>
        <v>5</v>
      </c>
      <c r="I156" s="4">
        <f>Raw_Data!I156</f>
        <v>249.99</v>
      </c>
      <c r="J156" s="2" t="str">
        <f>PROPER(TRIM(Raw_Data!J156))</f>
        <v>Cash</v>
      </c>
      <c r="K156" s="2" t="str">
        <f>PROPER(TRIM(Raw_Data!K156))</f>
        <v>Central</v>
      </c>
      <c r="L156" s="2" t="str">
        <f>PROPER(TRIM(Raw_Data!L156))</f>
        <v>Premium</v>
      </c>
      <c r="M156" s="3">
        <f>Raw_Data!M156</f>
        <v>44485</v>
      </c>
      <c r="N156" s="4">
        <f>Raw_Data!N156</f>
        <v>1249.95</v>
      </c>
    </row>
    <row r="157" spans="1:14" ht="15" customHeight="1" x14ac:dyDescent="0.35">
      <c r="A157" s="2" t="str">
        <f>UPPER(TRIM(Raw_Data!A157))</f>
        <v>TRX0133</v>
      </c>
      <c r="B157" s="3">
        <f>Raw_Data!B157</f>
        <v>45627</v>
      </c>
      <c r="C157" s="2" t="str">
        <f>UPPER(TRIM(Raw_Data!C157))</f>
        <v>CUST013</v>
      </c>
      <c r="D157" s="2" t="str">
        <f>PROPER(TRIM(Raw_Data!D157))</f>
        <v>Joseph Jackson</v>
      </c>
      <c r="E157" s="2" t="str">
        <f>UPPER(TRIM(Raw_Data!E157))</f>
        <v>P003</v>
      </c>
      <c r="F157" s="2" t="str">
        <f>PROPER(TRIM(Raw_Data!F157))</f>
        <v>Headphones</v>
      </c>
      <c r="G157" s="2" t="str">
        <f>PROPER(TRIM(Raw_Data!G157))</f>
        <v>Electronics</v>
      </c>
      <c r="H157" s="2">
        <f>Raw_Data!H157</f>
        <v>2</v>
      </c>
      <c r="I157" s="4">
        <f>Raw_Data!I157</f>
        <v>149.99</v>
      </c>
      <c r="J157" s="2" t="str">
        <f>PROPER(TRIM(Raw_Data!J157))</f>
        <v>Cash</v>
      </c>
      <c r="K157" s="2" t="str">
        <f>PROPER(TRIM(Raw_Data!K157))</f>
        <v>South</v>
      </c>
      <c r="L157" s="2" t="str">
        <f>PROPER(TRIM(Raw_Data!L157))</f>
        <v>Premium</v>
      </c>
      <c r="M157" s="3">
        <f>Raw_Data!M157</f>
        <v>44475</v>
      </c>
      <c r="N157" s="4">
        <f>Raw_Data!N157</f>
        <v>299.98</v>
      </c>
    </row>
    <row r="158" spans="1:14" ht="15" customHeight="1" x14ac:dyDescent="0.35">
      <c r="A158" s="2" t="str">
        <f>UPPER(TRIM(Raw_Data!A158))</f>
        <v>TRX0201</v>
      </c>
      <c r="B158" s="3">
        <f>Raw_Data!B158</f>
        <v>45627</v>
      </c>
      <c r="C158" s="2" t="str">
        <f>UPPER(TRIM(Raw_Data!C158))</f>
        <v>CUST025</v>
      </c>
      <c r="D158" s="2" t="str">
        <f>PROPER(TRIM(Raw_Data!D158))</f>
        <v>Mark Carter</v>
      </c>
      <c r="E158" s="2" t="str">
        <f>UPPER(TRIM(Raw_Data!E158))</f>
        <v>P002</v>
      </c>
      <c r="F158" s="2" t="str">
        <f>PROPER(TRIM(Raw_Data!F158))</f>
        <v>Smartphone</v>
      </c>
      <c r="G158" s="2" t="str">
        <f>PROPER(TRIM(Raw_Data!G158))</f>
        <v>Electronics</v>
      </c>
      <c r="H158" s="2">
        <f>Raw_Data!H158</f>
        <v>5</v>
      </c>
      <c r="I158" s="4">
        <f>Raw_Data!I158</f>
        <v>699.99</v>
      </c>
      <c r="J158" s="2" t="str">
        <f>PROPER(TRIM(Raw_Data!J158))</f>
        <v>Debit Card</v>
      </c>
      <c r="K158" s="2" t="str">
        <f>PROPER(TRIM(Raw_Data!K158))</f>
        <v>West</v>
      </c>
      <c r="L158" s="2" t="str">
        <f>PROPER(TRIM(Raw_Data!L158))</f>
        <v>Standard</v>
      </c>
      <c r="M158" s="3">
        <f>Raw_Data!M158</f>
        <v>44944</v>
      </c>
      <c r="N158" s="4">
        <f>Raw_Data!N158</f>
        <v>3499.95</v>
      </c>
    </row>
    <row r="159" spans="1:14" ht="15" customHeight="1" x14ac:dyDescent="0.35">
      <c r="A159" s="2" t="str">
        <f>UPPER(TRIM(Raw_Data!A159))</f>
        <v>TRX0137</v>
      </c>
      <c r="B159" s="3">
        <f>Raw_Data!B159</f>
        <v>45629</v>
      </c>
      <c r="C159" s="2" t="str">
        <f>UPPER(TRIM(Raw_Data!C159))</f>
        <v>CUST011</v>
      </c>
      <c r="D159" s="2" t="str">
        <f>PROPER(TRIM(Raw_Data!D159))</f>
        <v>William White</v>
      </c>
      <c r="E159" s="2" t="str">
        <f>UPPER(TRIM(Raw_Data!E159))</f>
        <v>P009</v>
      </c>
      <c r="F159" s="2" t="str">
        <f>PROPER(TRIM(Raw_Data!F159))</f>
        <v>Monitor</v>
      </c>
      <c r="G159" s="2" t="str">
        <f>PROPER(TRIM(Raw_Data!G159))</f>
        <v>Electronics</v>
      </c>
      <c r="H159" s="2">
        <f>Raw_Data!H159</f>
        <v>4</v>
      </c>
      <c r="I159" s="4">
        <f>Raw_Data!I159</f>
        <v>249.99</v>
      </c>
      <c r="J159" s="2" t="str">
        <f>PROPER(TRIM(Raw_Data!J159))</f>
        <v>Paypal</v>
      </c>
      <c r="K159" s="2" t="str">
        <f>PROPER(TRIM(Raw_Data!K159))</f>
        <v>East</v>
      </c>
      <c r="L159" s="2" t="str">
        <f>PROPER(TRIM(Raw_Data!L159))</f>
        <v>Premium</v>
      </c>
      <c r="M159" s="3">
        <f>Raw_Data!M159</f>
        <v>45098</v>
      </c>
      <c r="N159" s="4">
        <f>Raw_Data!N159</f>
        <v>999.96</v>
      </c>
    </row>
    <row r="160" spans="1:14" ht="15" customHeight="1" x14ac:dyDescent="0.35">
      <c r="A160" s="2" t="str">
        <f>UPPER(TRIM(Raw_Data!A160))</f>
        <v>TRX0066</v>
      </c>
      <c r="B160" s="3">
        <f>Raw_Data!B160</f>
        <v>45630</v>
      </c>
      <c r="C160" s="2" t="str">
        <f>UPPER(TRIM(Raw_Data!C160))</f>
        <v>CUST024</v>
      </c>
      <c r="D160" s="2" t="str">
        <f>PROPER(TRIM(Raw_Data!D160))</f>
        <v>Dorothy Nelson</v>
      </c>
      <c r="E160" s="2" t="str">
        <f>UPPER(TRIM(Raw_Data!E160))</f>
        <v>P002</v>
      </c>
      <c r="F160" s="2" t="str">
        <f>PROPER(TRIM(Raw_Data!F160))</f>
        <v>Smartphone</v>
      </c>
      <c r="G160" s="2" t="str">
        <f>PROPER(TRIM(Raw_Data!G160))</f>
        <v>Electronics</v>
      </c>
      <c r="H160" s="2">
        <f>Raw_Data!H160</f>
        <v>4</v>
      </c>
      <c r="I160" s="4">
        <f>Raw_Data!I160</f>
        <v>699.99</v>
      </c>
      <c r="J160" s="2" t="str">
        <f>PROPER(TRIM(Raw_Data!J160))</f>
        <v>Credit Card</v>
      </c>
      <c r="K160" s="2" t="str">
        <f>PROPER(TRIM(Raw_Data!K160))</f>
        <v>North</v>
      </c>
      <c r="L160" s="2" t="str">
        <f>PROPER(TRIM(Raw_Data!L160))</f>
        <v>Premium</v>
      </c>
      <c r="M160" s="3">
        <f>Raw_Data!M160</f>
        <v>44703</v>
      </c>
      <c r="N160" s="4">
        <f>Raw_Data!N160</f>
        <v>2799.96</v>
      </c>
    </row>
    <row r="161" spans="1:14" ht="15" customHeight="1" x14ac:dyDescent="0.35">
      <c r="A161" s="2" t="str">
        <f>UPPER(TRIM(Raw_Data!A161))</f>
        <v>TRX0180</v>
      </c>
      <c r="B161" s="3">
        <f>Raw_Data!B161</f>
        <v>45635</v>
      </c>
      <c r="C161" s="2" t="str">
        <f>UPPER(TRIM(Raw_Data!C161))</f>
        <v>CUST036</v>
      </c>
      <c r="D161" s="2" t="str">
        <f>PROPER(TRIM(Raw_Data!D161))</f>
        <v>Nancy Collins</v>
      </c>
      <c r="E161" s="2" t="str">
        <f>UPPER(TRIM(Raw_Data!E161))</f>
        <v>P009</v>
      </c>
      <c r="F161" s="2" t="str">
        <f>PROPER(TRIM(Raw_Data!F161))</f>
        <v>Monitor</v>
      </c>
      <c r="G161" s="2" t="str">
        <f>PROPER(TRIM(Raw_Data!G161))</f>
        <v>Electronics</v>
      </c>
      <c r="H161" s="2">
        <f>Raw_Data!H161</f>
        <v>2</v>
      </c>
      <c r="I161" s="4">
        <f>Raw_Data!I161</f>
        <v>249.99</v>
      </c>
      <c r="J161" s="2" t="str">
        <f>PROPER(TRIM(Raw_Data!J161))</f>
        <v>Credit Card</v>
      </c>
      <c r="K161" s="2" t="str">
        <f>PROPER(TRIM(Raw_Data!K161))</f>
        <v>Central</v>
      </c>
      <c r="L161" s="2" t="str">
        <f>PROPER(TRIM(Raw_Data!L161))</f>
        <v>Premium</v>
      </c>
      <c r="M161" s="3">
        <f>Raw_Data!M161</f>
        <v>44396</v>
      </c>
      <c r="N161" s="4">
        <f>Raw_Data!N161</f>
        <v>499.98</v>
      </c>
    </row>
    <row r="162" spans="1:14" ht="15" customHeight="1" x14ac:dyDescent="0.35">
      <c r="A162" s="2" t="str">
        <f>UPPER(TRIM(Raw_Data!A162))</f>
        <v>TRX0082</v>
      </c>
      <c r="B162" s="3">
        <f>Raw_Data!B162</f>
        <v>45635</v>
      </c>
      <c r="C162" s="2" t="str">
        <f>UPPER(TRIM(Raw_Data!C162))</f>
        <v>CUST005</v>
      </c>
      <c r="D162" s="2" t="str">
        <f>PROPER(TRIM(Raw_Data!D162))</f>
        <v>James Johnson</v>
      </c>
      <c r="E162" s="2" t="str">
        <f>UPPER(TRIM(Raw_Data!E162))</f>
        <v>P005</v>
      </c>
      <c r="F162" s="2" t="str">
        <f>PROPER(TRIM(Raw_Data!F162))</f>
        <v>Blender</v>
      </c>
      <c r="G162" s="2" t="str">
        <f>PROPER(TRIM(Raw_Data!G162))</f>
        <v>Appliances</v>
      </c>
      <c r="H162" s="2">
        <f>Raw_Data!H162</f>
        <v>3</v>
      </c>
      <c r="I162" s="4">
        <f>Raw_Data!I162</f>
        <v>59.99</v>
      </c>
      <c r="J162" s="2" t="str">
        <f>PROPER(TRIM(Raw_Data!J162))</f>
        <v>Cash</v>
      </c>
      <c r="K162" s="2" t="str">
        <f>PROPER(TRIM(Raw_Data!K162))</f>
        <v>Central</v>
      </c>
      <c r="L162" s="2" t="str">
        <f>PROPER(TRIM(Raw_Data!L162))</f>
        <v>Premium</v>
      </c>
      <c r="M162" s="3">
        <f>Raw_Data!M162</f>
        <v>45052</v>
      </c>
      <c r="N162" s="4">
        <f>Raw_Data!N162</f>
        <v>179.97</v>
      </c>
    </row>
    <row r="163" spans="1:14" ht="15" customHeight="1" x14ac:dyDescent="0.35">
      <c r="A163" s="2" t="str">
        <f>UPPER(TRIM(Raw_Data!A163))</f>
        <v>TRX0036</v>
      </c>
      <c r="B163" s="3">
        <f>Raw_Data!B163</f>
        <v>45635</v>
      </c>
      <c r="C163" s="2" t="str">
        <f>UPPER(TRIM(Raw_Data!C163))</f>
        <v>CUST008</v>
      </c>
      <c r="D163" s="2" t="str">
        <f>PROPER(TRIM(Raw_Data!D163))</f>
        <v>Jennifer Taylor</v>
      </c>
      <c r="E163" s="2" t="str">
        <f>UPPER(TRIM(Raw_Data!E163))</f>
        <v>P004</v>
      </c>
      <c r="F163" s="2" t="str">
        <f>PROPER(TRIM(Raw_Data!F163))</f>
        <v>Coffee Maker</v>
      </c>
      <c r="G163" s="2" t="str">
        <f>PROPER(TRIM(Raw_Data!G163))</f>
        <v>Appliances</v>
      </c>
      <c r="H163" s="2">
        <f>Raw_Data!H163</f>
        <v>4</v>
      </c>
      <c r="I163" s="4">
        <f>Raw_Data!I163</f>
        <v>79.989999999999995</v>
      </c>
      <c r="J163" s="2" t="str">
        <f>PROPER(TRIM(Raw_Data!J163))</f>
        <v>Debit Card</v>
      </c>
      <c r="K163" s="2" t="str">
        <f>PROPER(TRIM(Raw_Data!K163))</f>
        <v>East</v>
      </c>
      <c r="L163" s="2" t="str">
        <f>PROPER(TRIM(Raw_Data!L163))</f>
        <v>Standard</v>
      </c>
      <c r="M163" s="3">
        <f>Raw_Data!M163</f>
        <v>44921</v>
      </c>
      <c r="N163" s="4">
        <f>Raw_Data!N163</f>
        <v>319.95999999999998</v>
      </c>
    </row>
    <row r="164" spans="1:14" ht="15" customHeight="1" x14ac:dyDescent="0.35">
      <c r="A164" s="2" t="str">
        <f>UPPER(TRIM(Raw_Data!A164))</f>
        <v>TRX0198</v>
      </c>
      <c r="B164" s="3">
        <f>Raw_Data!B164</f>
        <v>45636</v>
      </c>
      <c r="C164" s="2" t="str">
        <f>UPPER(TRIM(Raw_Data!C164))</f>
        <v>CUST030</v>
      </c>
      <c r="D164" s="2" t="str">
        <f>PROPER(TRIM(Raw_Data!D164))</f>
        <v>Helen Roberts</v>
      </c>
      <c r="E164" s="2" t="str">
        <f>UPPER(TRIM(Raw_Data!E164))</f>
        <v>P004</v>
      </c>
      <c r="F164" s="2" t="str">
        <f>PROPER(TRIM(Raw_Data!F164))</f>
        <v>Coffee Maker</v>
      </c>
      <c r="G164" s="2" t="str">
        <f>PROPER(TRIM(Raw_Data!G164))</f>
        <v>Appliances</v>
      </c>
      <c r="H164" s="2">
        <f>Raw_Data!H164</f>
        <v>3</v>
      </c>
      <c r="I164" s="4">
        <f>Raw_Data!I164</f>
        <v>79.989999999999995</v>
      </c>
      <c r="J164" s="2" t="str">
        <f>PROPER(TRIM(Raw_Data!J164))</f>
        <v>Debit Card</v>
      </c>
      <c r="K164" s="2" t="str">
        <f>PROPER(TRIM(Raw_Data!K164))</f>
        <v>East</v>
      </c>
      <c r="L164" s="2" t="str">
        <f>PROPER(TRIM(Raw_Data!L164))</f>
        <v>Standard</v>
      </c>
      <c r="M164" s="3">
        <f>Raw_Data!M164</f>
        <v>44779</v>
      </c>
      <c r="N164" s="4">
        <f>Raw_Data!N164</f>
        <v>239.97</v>
      </c>
    </row>
    <row r="165" spans="1:14" ht="15" customHeight="1" x14ac:dyDescent="0.35">
      <c r="A165" s="2" t="str">
        <f>UPPER(TRIM(Raw_Data!A165))</f>
        <v>TRX0032</v>
      </c>
      <c r="B165" s="3">
        <f>Raw_Data!B165</f>
        <v>45638</v>
      </c>
      <c r="C165" s="2" t="str">
        <f>UPPER(TRIM(Raw_Data!C165))</f>
        <v>CUST041</v>
      </c>
      <c r="D165" s="2" t="str">
        <f>PROPER(TRIM(Raw_Data!D165))</f>
        <v>Peter Richardson</v>
      </c>
      <c r="E165" s="2" t="str">
        <f>UPPER(TRIM(Raw_Data!E165))</f>
        <v>P001</v>
      </c>
      <c r="F165" s="2" t="str">
        <f>PROPER(TRIM(Raw_Data!F165))</f>
        <v>Laptop</v>
      </c>
      <c r="G165" s="2" t="str">
        <f>PROPER(TRIM(Raw_Data!G165))</f>
        <v>Electronics</v>
      </c>
      <c r="H165" s="2">
        <f>Raw_Data!H165</f>
        <v>2</v>
      </c>
      <c r="I165" s="4">
        <f>Raw_Data!I165</f>
        <v>899.99</v>
      </c>
      <c r="J165" s="2" t="str">
        <f>PROPER(TRIM(Raw_Data!J165))</f>
        <v>Cash</v>
      </c>
      <c r="K165" s="2" t="str">
        <f>PROPER(TRIM(Raw_Data!K165))</f>
        <v>North</v>
      </c>
      <c r="L165" s="2" t="str">
        <f>PROPER(TRIM(Raw_Data!L165))</f>
        <v>Basic</v>
      </c>
      <c r="M165" s="3">
        <f>Raw_Data!M165</f>
        <v>44406</v>
      </c>
      <c r="N165" s="4">
        <f>Raw_Data!N165</f>
        <v>1799.98</v>
      </c>
    </row>
    <row r="166" spans="1:14" ht="15" customHeight="1" x14ac:dyDescent="0.35">
      <c r="A166" s="2" t="str">
        <f>UPPER(TRIM(Raw_Data!A166))</f>
        <v>TRX0081</v>
      </c>
      <c r="B166" s="3">
        <f>Raw_Data!B166</f>
        <v>45641</v>
      </c>
      <c r="C166" s="2" t="str">
        <f>UPPER(TRIM(Raw_Data!C166))</f>
        <v>CUST007</v>
      </c>
      <c r="D166" s="2" t="str">
        <f>PROPER(TRIM(Raw_Data!D166))</f>
        <v>David Martinez</v>
      </c>
      <c r="E166" s="2" t="str">
        <f>UPPER(TRIM(Raw_Data!E166))</f>
        <v>P008</v>
      </c>
      <c r="F166" s="2" t="str">
        <f>PROPER(TRIM(Raw_Data!F166))</f>
        <v>Bookshelf</v>
      </c>
      <c r="G166" s="2" t="str">
        <f>PROPER(TRIM(Raw_Data!G166))</f>
        <v>Furniture</v>
      </c>
      <c r="H166" s="2">
        <f>Raw_Data!H166</f>
        <v>1</v>
      </c>
      <c r="I166" s="4">
        <f>Raw_Data!I166</f>
        <v>149.99</v>
      </c>
      <c r="J166" s="2" t="str">
        <f>PROPER(TRIM(Raw_Data!J166))</f>
        <v>Debit Card</v>
      </c>
      <c r="K166" s="2" t="str">
        <f>PROPER(TRIM(Raw_Data!K166))</f>
        <v>East</v>
      </c>
      <c r="L166" s="2" t="str">
        <f>PROPER(TRIM(Raw_Data!L166))</f>
        <v>Standard</v>
      </c>
      <c r="M166" s="3">
        <f>Raw_Data!M166</f>
        <v>45200</v>
      </c>
      <c r="N166" s="4">
        <f>Raw_Data!N166</f>
        <v>149.99</v>
      </c>
    </row>
    <row r="167" spans="1:14" ht="15" customHeight="1" x14ac:dyDescent="0.35">
      <c r="A167" s="2" t="str">
        <f>UPPER(TRIM(Raw_Data!A167))</f>
        <v>TRX0224</v>
      </c>
      <c r="B167" s="3">
        <f>Raw_Data!B167</f>
        <v>45641</v>
      </c>
      <c r="C167" s="2" t="str">
        <f>UPPER(TRIM(Raw_Data!C167))</f>
        <v>CUST031</v>
      </c>
      <c r="D167" s="2" t="str">
        <f>PROPER(TRIM(Raw_Data!D167))</f>
        <v>Steven Turner</v>
      </c>
      <c r="E167" s="2" t="str">
        <f>UPPER(TRIM(Raw_Data!E167))</f>
        <v>P007</v>
      </c>
      <c r="F167" s="2" t="str">
        <f>PROPER(TRIM(Raw_Data!F167))</f>
        <v>Desk</v>
      </c>
      <c r="G167" s="2" t="str">
        <f>PROPER(TRIM(Raw_Data!G167))</f>
        <v>Furniture</v>
      </c>
      <c r="H167" s="2">
        <f>Raw_Data!H167</f>
        <v>2</v>
      </c>
      <c r="I167" s="4">
        <f>Raw_Data!I167</f>
        <v>299.99</v>
      </c>
      <c r="J167" s="2" t="str">
        <f>PROPER(TRIM(Raw_Data!J167))</f>
        <v>Cash</v>
      </c>
      <c r="K167" s="2" t="str">
        <f>PROPER(TRIM(Raw_Data!K167))</f>
        <v>East</v>
      </c>
      <c r="L167" s="2" t="str">
        <f>PROPER(TRIM(Raw_Data!L167))</f>
        <v>Premium</v>
      </c>
      <c r="M167" s="3">
        <f>Raw_Data!M167</f>
        <v>44724</v>
      </c>
      <c r="N167" s="4">
        <f>Raw_Data!N167</f>
        <v>599.98</v>
      </c>
    </row>
    <row r="168" spans="1:14" ht="15" customHeight="1" x14ac:dyDescent="0.35">
      <c r="A168" s="2" t="str">
        <f>UPPER(TRIM(Raw_Data!A168))</f>
        <v>TRX0028</v>
      </c>
      <c r="B168" s="3">
        <f>Raw_Data!B168</f>
        <v>45644</v>
      </c>
      <c r="C168" s="2" t="str">
        <f>UPPER(TRIM(Raw_Data!C168))</f>
        <v>CUST002</v>
      </c>
      <c r="D168" s="2" t="str">
        <f>PROPER(TRIM(Raw_Data!D168))</f>
        <v>Emma Wilson</v>
      </c>
      <c r="E168" s="2" t="str">
        <f>UPPER(TRIM(Raw_Data!E168))</f>
        <v>P005</v>
      </c>
      <c r="F168" s="2" t="str">
        <f>PROPER(TRIM(Raw_Data!F168))</f>
        <v>Blender</v>
      </c>
      <c r="G168" s="2" t="str">
        <f>PROPER(TRIM(Raw_Data!G168))</f>
        <v>Appliances</v>
      </c>
      <c r="H168" s="2">
        <f>Raw_Data!H168</f>
        <v>2</v>
      </c>
      <c r="I168" s="4">
        <f>Raw_Data!I168</f>
        <v>59.99</v>
      </c>
      <c r="J168" s="2" t="str">
        <f>PROPER(TRIM(Raw_Data!J168))</f>
        <v>Cash</v>
      </c>
      <c r="K168" s="2" t="str">
        <f>PROPER(TRIM(Raw_Data!K168))</f>
        <v>West</v>
      </c>
      <c r="L168" s="2" t="str">
        <f>PROPER(TRIM(Raw_Data!L168))</f>
        <v>Basic</v>
      </c>
      <c r="M168" s="3">
        <f>Raw_Data!M168</f>
        <v>45191</v>
      </c>
      <c r="N168" s="4">
        <f>Raw_Data!N168</f>
        <v>119.98</v>
      </c>
    </row>
    <row r="169" spans="1:14" ht="15" customHeight="1" x14ac:dyDescent="0.35">
      <c r="A169" s="2" t="str">
        <f>UPPER(TRIM(Raw_Data!A169))</f>
        <v>TRX0183</v>
      </c>
      <c r="B169" s="3">
        <f>Raw_Data!B169</f>
        <v>45645</v>
      </c>
      <c r="C169" s="2" t="str">
        <f>UPPER(TRIM(Raw_Data!C169))</f>
        <v>CUST007</v>
      </c>
      <c r="D169" s="2" t="str">
        <f>PROPER(TRIM(Raw_Data!D169))</f>
        <v>David Martinez</v>
      </c>
      <c r="E169" s="2" t="str">
        <f>UPPER(TRIM(Raw_Data!E169))</f>
        <v>P010</v>
      </c>
      <c r="F169" s="2" t="str">
        <f>PROPER(TRIM(Raw_Data!F169))</f>
        <v>Keyboard</v>
      </c>
      <c r="G169" s="2" t="str">
        <f>PROPER(TRIM(Raw_Data!G169))</f>
        <v>Electronics</v>
      </c>
      <c r="H169" s="2">
        <f>Raw_Data!H169</f>
        <v>1</v>
      </c>
      <c r="I169" s="4">
        <f>Raw_Data!I169</f>
        <v>89.99</v>
      </c>
      <c r="J169" s="2" t="str">
        <f>PROPER(TRIM(Raw_Data!J169))</f>
        <v>Debit Card</v>
      </c>
      <c r="K169" s="2" t="str">
        <f>PROPER(TRIM(Raw_Data!K169))</f>
        <v>Central</v>
      </c>
      <c r="L169" s="2" t="str">
        <f>PROPER(TRIM(Raw_Data!L169))</f>
        <v>Standard</v>
      </c>
      <c r="M169" s="3">
        <f>Raw_Data!M169</f>
        <v>44760</v>
      </c>
      <c r="N169" s="4">
        <f>Raw_Data!N169</f>
        <v>89.99</v>
      </c>
    </row>
    <row r="170" spans="1:14" ht="15" customHeight="1" x14ac:dyDescent="0.35">
      <c r="A170" s="2" t="str">
        <f>UPPER(TRIM(Raw_Data!A170))</f>
        <v>TRX0163</v>
      </c>
      <c r="B170" s="3">
        <f>Raw_Data!B170</f>
        <v>45645</v>
      </c>
      <c r="C170" s="2" t="str">
        <f>UPPER(TRIM(Raw_Data!C170))</f>
        <v>CUST019</v>
      </c>
      <c r="D170" s="2" t="str">
        <f>PROPER(TRIM(Raw_Data!D170))</f>
        <v>Daniel King</v>
      </c>
      <c r="E170" s="2" t="str">
        <f>UPPER(TRIM(Raw_Data!E170))</f>
        <v>P001</v>
      </c>
      <c r="F170" s="2" t="str">
        <f>PROPER(TRIM(Raw_Data!F170))</f>
        <v>Laptop</v>
      </c>
      <c r="G170" s="2" t="str">
        <f>PROPER(TRIM(Raw_Data!G170))</f>
        <v>Electronics</v>
      </c>
      <c r="H170" s="2">
        <f>Raw_Data!H170</f>
        <v>5</v>
      </c>
      <c r="I170" s="4">
        <f>Raw_Data!I170</f>
        <v>899.99</v>
      </c>
      <c r="J170" s="2" t="str">
        <f>PROPER(TRIM(Raw_Data!J170))</f>
        <v>Debit Card</v>
      </c>
      <c r="K170" s="2" t="str">
        <f>PROPER(TRIM(Raw_Data!K170))</f>
        <v>East</v>
      </c>
      <c r="L170" s="2" t="str">
        <f>PROPER(TRIM(Raw_Data!L170))</f>
        <v>Standard</v>
      </c>
      <c r="M170" s="3">
        <f>Raw_Data!M170</f>
        <v>44625</v>
      </c>
      <c r="N170" s="4">
        <f>Raw_Data!N170</f>
        <v>4499.95</v>
      </c>
    </row>
    <row r="171" spans="1:14" ht="15" customHeight="1" x14ac:dyDescent="0.35">
      <c r="A171" s="2" t="str">
        <f>UPPER(TRIM(Raw_Data!A171))</f>
        <v>TRX0046</v>
      </c>
      <c r="B171" s="3">
        <f>Raw_Data!B171</f>
        <v>45646</v>
      </c>
      <c r="C171" s="2" t="str">
        <f>UPPER(TRIM(Raw_Data!C171))</f>
        <v>CUST003</v>
      </c>
      <c r="D171" s="2" t="str">
        <f>PROPER(TRIM(Raw_Data!D171))</f>
        <v>Michael Brown</v>
      </c>
      <c r="E171" s="2" t="str">
        <f>UPPER(TRIM(Raw_Data!E171))</f>
        <v>P008</v>
      </c>
      <c r="F171" s="2" t="str">
        <f>PROPER(TRIM(Raw_Data!F171))</f>
        <v>Bookshelf</v>
      </c>
      <c r="G171" s="2" t="str">
        <f>PROPER(TRIM(Raw_Data!G171))</f>
        <v>Furniture</v>
      </c>
      <c r="H171" s="2">
        <f>Raw_Data!H171</f>
        <v>2</v>
      </c>
      <c r="I171" s="4">
        <f>Raw_Data!I171</f>
        <v>149.99</v>
      </c>
      <c r="J171" s="2" t="str">
        <f>PROPER(TRIM(Raw_Data!J171))</f>
        <v>Cash</v>
      </c>
      <c r="K171" s="2" t="str">
        <f>PROPER(TRIM(Raw_Data!K171))</f>
        <v>South</v>
      </c>
      <c r="L171" s="2" t="str">
        <f>PROPER(TRIM(Raw_Data!L171))</f>
        <v>Basic</v>
      </c>
      <c r="M171" s="3">
        <f>Raw_Data!M171</f>
        <v>45239</v>
      </c>
      <c r="N171" s="4">
        <f>Raw_Data!N171</f>
        <v>299.98</v>
      </c>
    </row>
    <row r="172" spans="1:14" ht="15" customHeight="1" x14ac:dyDescent="0.35">
      <c r="A172" s="2" t="str">
        <f>UPPER(TRIM(Raw_Data!A172))</f>
        <v>TRX0164</v>
      </c>
      <c r="B172" s="3">
        <f>Raw_Data!B172</f>
        <v>45648</v>
      </c>
      <c r="C172" s="2" t="str">
        <f>UPPER(TRIM(Raw_Data!C172))</f>
        <v>CUST014</v>
      </c>
      <c r="D172" s="2" t="str">
        <f>PROPER(TRIM(Raw_Data!D172))</f>
        <v>Linda Martin</v>
      </c>
      <c r="E172" s="2" t="str">
        <f>UPPER(TRIM(Raw_Data!E172))</f>
        <v>P003</v>
      </c>
      <c r="F172" s="2" t="str">
        <f>PROPER(TRIM(Raw_Data!F172))</f>
        <v>Headphones</v>
      </c>
      <c r="G172" s="2" t="str">
        <f>PROPER(TRIM(Raw_Data!G172))</f>
        <v>Electronics</v>
      </c>
      <c r="H172" s="2">
        <f>Raw_Data!H172</f>
        <v>2</v>
      </c>
      <c r="I172" s="4">
        <f>Raw_Data!I172</f>
        <v>149.99</v>
      </c>
      <c r="J172" s="2" t="str">
        <f>PROPER(TRIM(Raw_Data!J172))</f>
        <v>Debit Card</v>
      </c>
      <c r="K172" s="2" t="str">
        <f>PROPER(TRIM(Raw_Data!K172))</f>
        <v>West</v>
      </c>
      <c r="L172" s="2" t="str">
        <f>PROPER(TRIM(Raw_Data!L172))</f>
        <v>Premium</v>
      </c>
      <c r="M172" s="3">
        <f>Raw_Data!M172</f>
        <v>45280</v>
      </c>
      <c r="N172" s="4">
        <f>Raw_Data!N172</f>
        <v>299.98</v>
      </c>
    </row>
    <row r="173" spans="1:14" ht="15" customHeight="1" x14ac:dyDescent="0.35">
      <c r="A173" s="2" t="str">
        <f>UPPER(TRIM(Raw_Data!A173))</f>
        <v>TRX0008</v>
      </c>
      <c r="B173" s="3">
        <f>Raw_Data!B173</f>
        <v>45648</v>
      </c>
      <c r="C173" s="2" t="str">
        <f>UPPER(TRIM(Raw_Data!C173))</f>
        <v>CUST007</v>
      </c>
      <c r="D173" s="2" t="str">
        <f>PROPER(TRIM(Raw_Data!D173))</f>
        <v>David Martinez</v>
      </c>
      <c r="E173" s="2" t="str">
        <f>UPPER(TRIM(Raw_Data!E173))</f>
        <v>P008</v>
      </c>
      <c r="F173" s="2" t="str">
        <f>PROPER(TRIM(Raw_Data!F173))</f>
        <v>Bookshelf</v>
      </c>
      <c r="G173" s="2" t="str">
        <f>PROPER(TRIM(Raw_Data!G173))</f>
        <v>Furniture</v>
      </c>
      <c r="H173" s="2">
        <f>Raw_Data!H173</f>
        <v>3</v>
      </c>
      <c r="I173" s="4">
        <f>Raw_Data!I173</f>
        <v>149.99</v>
      </c>
      <c r="J173" s="2" t="str">
        <f>PROPER(TRIM(Raw_Data!J173))</f>
        <v>Debit Card</v>
      </c>
      <c r="K173" s="2" t="str">
        <f>PROPER(TRIM(Raw_Data!K173))</f>
        <v>North</v>
      </c>
      <c r="L173" s="2" t="str">
        <f>PROPER(TRIM(Raw_Data!L173))</f>
        <v>Standard</v>
      </c>
      <c r="M173" s="3">
        <f>Raw_Data!M173</f>
        <v>44522</v>
      </c>
      <c r="N173" s="4">
        <f>Raw_Data!N173</f>
        <v>449.97</v>
      </c>
    </row>
    <row r="174" spans="1:14" ht="15" customHeight="1" x14ac:dyDescent="0.35">
      <c r="A174" s="2" t="str">
        <f>UPPER(TRIM(Raw_Data!A174))</f>
        <v>TRX0171</v>
      </c>
      <c r="B174" s="3">
        <f>Raw_Data!B174</f>
        <v>45649</v>
      </c>
      <c r="C174" s="2" t="str">
        <f>UPPER(TRIM(Raw_Data!C174))</f>
        <v>CUST021</v>
      </c>
      <c r="D174" s="2" t="str">
        <f>PROPER(TRIM(Raw_Data!D174))</f>
        <v>Kevin Scott</v>
      </c>
      <c r="E174" s="2" t="str">
        <f>UPPER(TRIM(Raw_Data!E174))</f>
        <v>P007</v>
      </c>
      <c r="F174" s="2" t="str">
        <f>PROPER(TRIM(Raw_Data!F174))</f>
        <v>Desk</v>
      </c>
      <c r="G174" s="2" t="str">
        <f>PROPER(TRIM(Raw_Data!G174))</f>
        <v>Furniture</v>
      </c>
      <c r="H174" s="2">
        <f>Raw_Data!H174</f>
        <v>2</v>
      </c>
      <c r="I174" s="4">
        <f>Raw_Data!I174</f>
        <v>299.99</v>
      </c>
      <c r="J174" s="2" t="str">
        <f>PROPER(TRIM(Raw_Data!J174))</f>
        <v>Paypal</v>
      </c>
      <c r="K174" s="2" t="str">
        <f>PROPER(TRIM(Raw_Data!K174))</f>
        <v>South</v>
      </c>
      <c r="L174" s="2" t="str">
        <f>PROPER(TRIM(Raw_Data!L174))</f>
        <v>Basic</v>
      </c>
      <c r="M174" s="3">
        <f>Raw_Data!M174</f>
        <v>44721</v>
      </c>
      <c r="N174" s="4">
        <f>Raw_Data!N174</f>
        <v>599.98</v>
      </c>
    </row>
    <row r="175" spans="1:14" ht="15" customHeight="1" x14ac:dyDescent="0.35">
      <c r="A175" s="2" t="str">
        <f>UPPER(TRIM(Raw_Data!A175))</f>
        <v>TRX0143</v>
      </c>
      <c r="B175" s="3">
        <f>Raw_Data!B175</f>
        <v>45654</v>
      </c>
      <c r="C175" s="2" t="str">
        <f>UPPER(TRIM(Raw_Data!C175))</f>
        <v>CUST003</v>
      </c>
      <c r="D175" s="2" t="str">
        <f>PROPER(TRIM(Raw_Data!D175))</f>
        <v>Michael Brown</v>
      </c>
      <c r="E175" s="2" t="str">
        <f>UPPER(TRIM(Raw_Data!E175))</f>
        <v>P007</v>
      </c>
      <c r="F175" s="2" t="str">
        <f>PROPER(TRIM(Raw_Data!F175))</f>
        <v>Desk</v>
      </c>
      <c r="G175" s="2" t="str">
        <f>PROPER(TRIM(Raw_Data!G175))</f>
        <v>Furniture</v>
      </c>
      <c r="H175" s="2">
        <f>Raw_Data!H175</f>
        <v>2</v>
      </c>
      <c r="I175" s="4">
        <f>Raw_Data!I175</f>
        <v>299.99</v>
      </c>
      <c r="J175" s="2" t="str">
        <f>PROPER(TRIM(Raw_Data!J175))</f>
        <v>Cash</v>
      </c>
      <c r="K175" s="2" t="str">
        <f>PROPER(TRIM(Raw_Data!K175))</f>
        <v>West</v>
      </c>
      <c r="L175" s="2" t="str">
        <f>PROPER(TRIM(Raw_Data!L175))</f>
        <v>Basic</v>
      </c>
      <c r="M175" s="3">
        <f>Raw_Data!M175</f>
        <v>44771</v>
      </c>
      <c r="N175" s="4">
        <f>Raw_Data!N175</f>
        <v>599.98</v>
      </c>
    </row>
    <row r="176" spans="1:14" ht="15" customHeight="1" x14ac:dyDescent="0.35">
      <c r="A176" s="2" t="str">
        <f>UPPER(TRIM(Raw_Data!A176))</f>
        <v>TRX0165</v>
      </c>
      <c r="B176" s="3">
        <f>Raw_Data!B176</f>
        <v>45654</v>
      </c>
      <c r="C176" s="2" t="str">
        <f>UPPER(TRIM(Raw_Data!C176))</f>
        <v>CUST030</v>
      </c>
      <c r="D176" s="2" t="str">
        <f>PROPER(TRIM(Raw_Data!D176))</f>
        <v>Helen Roberts</v>
      </c>
      <c r="E176" s="2" t="str">
        <f>UPPER(TRIM(Raw_Data!E176))</f>
        <v>P006</v>
      </c>
      <c r="F176" s="2" t="str">
        <f>PROPER(TRIM(Raw_Data!F176))</f>
        <v>Office Chair</v>
      </c>
      <c r="G176" s="2" t="str">
        <f>PROPER(TRIM(Raw_Data!G176))</f>
        <v>Furniture</v>
      </c>
      <c r="H176" s="2">
        <f>Raw_Data!H176</f>
        <v>4</v>
      </c>
      <c r="I176" s="4">
        <f>Raw_Data!I176</f>
        <v>199.99</v>
      </c>
      <c r="J176" s="2" t="str">
        <f>PROPER(TRIM(Raw_Data!J176))</f>
        <v>Credit Card</v>
      </c>
      <c r="K176" s="2" t="str">
        <f>PROPER(TRIM(Raw_Data!K176))</f>
        <v>Central</v>
      </c>
      <c r="L176" s="2" t="str">
        <f>PROPER(TRIM(Raw_Data!L176))</f>
        <v>Basic</v>
      </c>
      <c r="M176" s="3">
        <f>Raw_Data!M176</f>
        <v>44523</v>
      </c>
      <c r="N176" s="4">
        <f>Raw_Data!N176</f>
        <v>799.96</v>
      </c>
    </row>
    <row r="177" spans="1:14" ht="15" customHeight="1" x14ac:dyDescent="0.35">
      <c r="A177" s="2" t="str">
        <f>UPPER(TRIM(Raw_Data!A177))</f>
        <v>TRX0156</v>
      </c>
      <c r="B177" s="3">
        <f>Raw_Data!B177</f>
        <v>45655</v>
      </c>
      <c r="C177" s="2" t="str">
        <f>UPPER(TRIM(Raw_Data!C177))</f>
        <v>CUST009</v>
      </c>
      <c r="D177" s="2" t="str">
        <f>PROPER(TRIM(Raw_Data!D177))</f>
        <v>Robert Thomas</v>
      </c>
      <c r="E177" s="2" t="str">
        <f>UPPER(TRIM(Raw_Data!E177))</f>
        <v>P010</v>
      </c>
      <c r="F177" s="2" t="str">
        <f>PROPER(TRIM(Raw_Data!F177))</f>
        <v>Keyboard</v>
      </c>
      <c r="G177" s="2" t="str">
        <f>PROPER(TRIM(Raw_Data!G177))</f>
        <v>Electronics</v>
      </c>
      <c r="H177" s="2">
        <f>Raw_Data!H177</f>
        <v>1</v>
      </c>
      <c r="I177" s="4">
        <f>Raw_Data!I177</f>
        <v>89.99</v>
      </c>
      <c r="J177" s="2" t="str">
        <f>PROPER(TRIM(Raw_Data!J177))</f>
        <v>Credit Card</v>
      </c>
      <c r="K177" s="2" t="str">
        <f>PROPER(TRIM(Raw_Data!K177))</f>
        <v>South</v>
      </c>
      <c r="L177" s="2" t="str">
        <f>PROPER(TRIM(Raw_Data!L177))</f>
        <v>Premium</v>
      </c>
      <c r="M177" s="3">
        <f>Raw_Data!M177</f>
        <v>44591</v>
      </c>
      <c r="N177" s="4">
        <f>Raw_Data!N177</f>
        <v>89.99</v>
      </c>
    </row>
    <row r="178" spans="1:14" ht="15" customHeight="1" x14ac:dyDescent="0.35">
      <c r="A178" s="2" t="str">
        <f>UPPER(TRIM(Raw_Data!A178))</f>
        <v>TRX0147</v>
      </c>
      <c r="B178" s="3">
        <f>Raw_Data!B178</f>
        <v>45655</v>
      </c>
      <c r="C178" s="2" t="str">
        <f>UPPER(TRIM(Raw_Data!C178))</f>
        <v>CUST036</v>
      </c>
      <c r="D178" s="2" t="str">
        <f>PROPER(TRIM(Raw_Data!D178))</f>
        <v>Nancy Collins</v>
      </c>
      <c r="E178" s="2" t="str">
        <f>UPPER(TRIM(Raw_Data!E178))</f>
        <v>P008</v>
      </c>
      <c r="F178" s="2" t="str">
        <f>PROPER(TRIM(Raw_Data!F178))</f>
        <v>Bookshelf</v>
      </c>
      <c r="G178" s="2" t="str">
        <f>PROPER(TRIM(Raw_Data!G178))</f>
        <v>Furniture</v>
      </c>
      <c r="H178" s="2">
        <f>Raw_Data!H178</f>
        <v>5</v>
      </c>
      <c r="I178" s="4">
        <f>Raw_Data!I178</f>
        <v>149.99</v>
      </c>
      <c r="J178" s="2" t="str">
        <f>PROPER(TRIM(Raw_Data!J178))</f>
        <v>Cash</v>
      </c>
      <c r="K178" s="2" t="str">
        <f>PROPER(TRIM(Raw_Data!K178))</f>
        <v>Central</v>
      </c>
      <c r="L178" s="2" t="str">
        <f>PROPER(TRIM(Raw_Data!L178))</f>
        <v>Premium</v>
      </c>
      <c r="M178" s="3">
        <f>Raw_Data!M178</f>
        <v>45347</v>
      </c>
      <c r="N178" s="4">
        <f>Raw_Data!N178</f>
        <v>749.95</v>
      </c>
    </row>
    <row r="179" spans="1:14" ht="15" customHeight="1" x14ac:dyDescent="0.35">
      <c r="A179" s="2" t="str">
        <f>UPPER(TRIM(Raw_Data!A179))</f>
        <v>TRX0207</v>
      </c>
      <c r="B179" s="3">
        <f>Raw_Data!B179</f>
        <v>45657</v>
      </c>
      <c r="C179" s="2" t="str">
        <f>UPPER(TRIM(Raw_Data!C179))</f>
        <v>CUST025</v>
      </c>
      <c r="D179" s="2" t="str">
        <f>PROPER(TRIM(Raw_Data!D179))</f>
        <v>Mark Carter</v>
      </c>
      <c r="E179" s="2" t="str">
        <f>UPPER(TRIM(Raw_Data!E179))</f>
        <v>P001</v>
      </c>
      <c r="F179" s="2" t="str">
        <f>PROPER(TRIM(Raw_Data!F179))</f>
        <v>Laptop</v>
      </c>
      <c r="G179" s="2" t="str">
        <f>PROPER(TRIM(Raw_Data!G179))</f>
        <v>Electronics</v>
      </c>
      <c r="H179" s="2">
        <f>Raw_Data!H179</f>
        <v>1</v>
      </c>
      <c r="I179" s="4">
        <f>Raw_Data!I179</f>
        <v>899.99</v>
      </c>
      <c r="J179" s="2" t="str">
        <f>PROPER(TRIM(Raw_Data!J179))</f>
        <v>Paypal</v>
      </c>
      <c r="K179" s="2" t="str">
        <f>PROPER(TRIM(Raw_Data!K179))</f>
        <v>North</v>
      </c>
      <c r="L179" s="2" t="str">
        <f>PROPER(TRIM(Raw_Data!L179))</f>
        <v>Premium</v>
      </c>
      <c r="M179" s="3">
        <f>Raw_Data!M179</f>
        <v>45050</v>
      </c>
      <c r="N179" s="4">
        <f>Raw_Data!N179</f>
        <v>899.99</v>
      </c>
    </row>
    <row r="180" spans="1:14" ht="15" customHeight="1" x14ac:dyDescent="0.35">
      <c r="A180" s="2" t="str">
        <f>UPPER(TRIM(Raw_Data!A180))</f>
        <v>TRX0056</v>
      </c>
      <c r="B180" s="3">
        <f>Raw_Data!B180</f>
        <v>45660</v>
      </c>
      <c r="C180" s="2" t="str">
        <f>UPPER(TRIM(Raw_Data!C180))</f>
        <v>CUST019</v>
      </c>
      <c r="D180" s="2" t="str">
        <f>PROPER(TRIM(Raw_Data!D180))</f>
        <v>Daniel King</v>
      </c>
      <c r="E180" s="2" t="str">
        <f>UPPER(TRIM(Raw_Data!E180))</f>
        <v>P010</v>
      </c>
      <c r="F180" s="2" t="str">
        <f>PROPER(TRIM(Raw_Data!F180))</f>
        <v>Keyboard</v>
      </c>
      <c r="G180" s="2" t="str">
        <f>PROPER(TRIM(Raw_Data!G180))</f>
        <v>Electronics</v>
      </c>
      <c r="H180" s="2">
        <f>Raw_Data!H180</f>
        <v>2</v>
      </c>
      <c r="I180" s="4">
        <f>Raw_Data!I180</f>
        <v>89.99</v>
      </c>
      <c r="J180" s="2" t="str">
        <f>PROPER(TRIM(Raw_Data!J180))</f>
        <v>Credit Card</v>
      </c>
      <c r="K180" s="2" t="str">
        <f>PROPER(TRIM(Raw_Data!K180))</f>
        <v>South</v>
      </c>
      <c r="L180" s="2" t="str">
        <f>PROPER(TRIM(Raw_Data!L180))</f>
        <v>Premium</v>
      </c>
      <c r="M180" s="3">
        <f>Raw_Data!M180</f>
        <v>44564</v>
      </c>
      <c r="N180" s="4">
        <f>Raw_Data!N180</f>
        <v>179.98</v>
      </c>
    </row>
    <row r="181" spans="1:14" ht="15" customHeight="1" x14ac:dyDescent="0.35">
      <c r="A181" s="2" t="str">
        <f>UPPER(TRIM(Raw_Data!A181))</f>
        <v>TRX0026</v>
      </c>
      <c r="B181" s="3">
        <f>Raw_Data!B181</f>
        <v>45661</v>
      </c>
      <c r="C181" s="2" t="str">
        <f>UPPER(TRIM(Raw_Data!C181))</f>
        <v>CUST037</v>
      </c>
      <c r="D181" s="2" t="str">
        <f>PROPER(TRIM(Raw_Data!D181))</f>
        <v>Arthur Edwards</v>
      </c>
      <c r="E181" s="2" t="str">
        <f>UPPER(TRIM(Raw_Data!E181))</f>
        <v>P001</v>
      </c>
      <c r="F181" s="2" t="str">
        <f>PROPER(TRIM(Raw_Data!F181))</f>
        <v>Laptop</v>
      </c>
      <c r="G181" s="2" t="str">
        <f>PROPER(TRIM(Raw_Data!G181))</f>
        <v>Electronics</v>
      </c>
      <c r="H181" s="2">
        <f>Raw_Data!H181</f>
        <v>1</v>
      </c>
      <c r="I181" s="4">
        <f>Raw_Data!I181</f>
        <v>899.99</v>
      </c>
      <c r="J181" s="2" t="str">
        <f>PROPER(TRIM(Raw_Data!J181))</f>
        <v>Paypal</v>
      </c>
      <c r="K181" s="2" t="str">
        <f>PROPER(TRIM(Raw_Data!K181))</f>
        <v>North</v>
      </c>
      <c r="L181" s="2" t="str">
        <f>PROPER(TRIM(Raw_Data!L181))</f>
        <v>Standard</v>
      </c>
      <c r="M181" s="3">
        <f>Raw_Data!M181</f>
        <v>44752</v>
      </c>
      <c r="N181" s="4">
        <f>Raw_Data!N181</f>
        <v>899.99</v>
      </c>
    </row>
    <row r="182" spans="1:14" ht="15" customHeight="1" x14ac:dyDescent="0.35">
      <c r="A182" s="2" t="str">
        <f>UPPER(TRIM(Raw_Data!A182))</f>
        <v>TRX0237</v>
      </c>
      <c r="B182" s="3">
        <f>Raw_Data!B182</f>
        <v>45663</v>
      </c>
      <c r="C182" s="2" t="str">
        <f>UPPER(TRIM(Raw_Data!C182))</f>
        <v>CUST006</v>
      </c>
      <c r="D182" s="2" t="str">
        <f>PROPER(TRIM(Raw_Data!D182))</f>
        <v>Lisa Anderson</v>
      </c>
      <c r="E182" s="2" t="str">
        <f>UPPER(TRIM(Raw_Data!E182))</f>
        <v>P003</v>
      </c>
      <c r="F182" s="2" t="str">
        <f>PROPER(TRIM(Raw_Data!F182))</f>
        <v>Headphones</v>
      </c>
      <c r="G182" s="2" t="str">
        <f>PROPER(TRIM(Raw_Data!G182))</f>
        <v>Electronics</v>
      </c>
      <c r="H182" s="2">
        <f>Raw_Data!H182</f>
        <v>5</v>
      </c>
      <c r="I182" s="4">
        <f>Raw_Data!I182</f>
        <v>149.99</v>
      </c>
      <c r="J182" s="2" t="str">
        <f>PROPER(TRIM(Raw_Data!J182))</f>
        <v>Paypal</v>
      </c>
      <c r="K182" s="2" t="str">
        <f>PROPER(TRIM(Raw_Data!K182))</f>
        <v>East</v>
      </c>
      <c r="L182" s="2" t="str">
        <f>PROPER(TRIM(Raw_Data!L182))</f>
        <v>Premium</v>
      </c>
      <c r="M182" s="3">
        <f>Raw_Data!M182</f>
        <v>44824</v>
      </c>
      <c r="N182" s="4">
        <f>Raw_Data!N182</f>
        <v>749.95</v>
      </c>
    </row>
    <row r="183" spans="1:14" ht="15" customHeight="1" x14ac:dyDescent="0.35">
      <c r="A183" s="2" t="str">
        <f>UPPER(TRIM(Raw_Data!A183))</f>
        <v>TRX0091</v>
      </c>
      <c r="B183" s="3">
        <f>Raw_Data!B183</f>
        <v>45663</v>
      </c>
      <c r="C183" s="2" t="str">
        <f>UPPER(TRIM(Raw_Data!C183))</f>
        <v>CUST003</v>
      </c>
      <c r="D183" s="2" t="str">
        <f>PROPER(TRIM(Raw_Data!D183))</f>
        <v>Michael Brown</v>
      </c>
      <c r="E183" s="2" t="str">
        <f>UPPER(TRIM(Raw_Data!E183))</f>
        <v>P007</v>
      </c>
      <c r="F183" s="2" t="str">
        <f>PROPER(TRIM(Raw_Data!F183))</f>
        <v>Desk</v>
      </c>
      <c r="G183" s="2" t="str">
        <f>PROPER(TRIM(Raw_Data!G183))</f>
        <v>Furniture</v>
      </c>
      <c r="H183" s="2">
        <f>Raw_Data!H183</f>
        <v>3</v>
      </c>
      <c r="I183" s="4">
        <f>Raw_Data!I183</f>
        <v>299.99</v>
      </c>
      <c r="J183" s="2" t="str">
        <f>PROPER(TRIM(Raw_Data!J183))</f>
        <v>Cash</v>
      </c>
      <c r="K183" s="2" t="str">
        <f>PROPER(TRIM(Raw_Data!K183))</f>
        <v>South</v>
      </c>
      <c r="L183" s="2" t="str">
        <f>PROPER(TRIM(Raw_Data!L183))</f>
        <v>Standard</v>
      </c>
      <c r="M183" s="3">
        <f>Raw_Data!M183</f>
        <v>44422</v>
      </c>
      <c r="N183" s="4">
        <f>Raw_Data!N183</f>
        <v>899.97</v>
      </c>
    </row>
    <row r="184" spans="1:14" ht="15" customHeight="1" x14ac:dyDescent="0.35">
      <c r="A184" s="2" t="str">
        <f>UPPER(TRIM(Raw_Data!A184))</f>
        <v>TRX0125</v>
      </c>
      <c r="B184" s="3">
        <f>Raw_Data!B184</f>
        <v>45666</v>
      </c>
      <c r="C184" s="2" t="str">
        <f>UPPER(TRIM(Raw_Data!C184))</f>
        <v>CUST026</v>
      </c>
      <c r="D184" s="2" t="str">
        <f>PROPER(TRIM(Raw_Data!D184))</f>
        <v>Karen Hill</v>
      </c>
      <c r="E184" s="2" t="str">
        <f>UPPER(TRIM(Raw_Data!E184))</f>
        <v>P002</v>
      </c>
      <c r="F184" s="2" t="str">
        <f>PROPER(TRIM(Raw_Data!F184))</f>
        <v>Smartphone</v>
      </c>
      <c r="G184" s="2" t="str">
        <f>PROPER(TRIM(Raw_Data!G184))</f>
        <v>Electronics</v>
      </c>
      <c r="H184" s="2">
        <f>Raw_Data!H184</f>
        <v>3</v>
      </c>
      <c r="I184" s="4">
        <f>Raw_Data!I184</f>
        <v>699.99</v>
      </c>
      <c r="J184" s="2" t="str">
        <f>PROPER(TRIM(Raw_Data!J184))</f>
        <v>Credit Card</v>
      </c>
      <c r="K184" s="2" t="str">
        <f>PROPER(TRIM(Raw_Data!K184))</f>
        <v>Central</v>
      </c>
      <c r="L184" s="2" t="str">
        <f>PROPER(TRIM(Raw_Data!L184))</f>
        <v>Premium</v>
      </c>
      <c r="M184" s="3">
        <f>Raw_Data!M184</f>
        <v>45105</v>
      </c>
      <c r="N184" s="4">
        <f>Raw_Data!N184</f>
        <v>2099.9699999999998</v>
      </c>
    </row>
    <row r="185" spans="1:14" ht="15" customHeight="1" x14ac:dyDescent="0.35">
      <c r="A185" s="2" t="str">
        <f>UPPER(TRIM(Raw_Data!A185))</f>
        <v>TRX0223</v>
      </c>
      <c r="B185" s="3">
        <f>Raw_Data!B185</f>
        <v>45667</v>
      </c>
      <c r="C185" s="2" t="str">
        <f>UPPER(TRIM(Raw_Data!C185))</f>
        <v>CUST036</v>
      </c>
      <c r="D185" s="2" t="str">
        <f>PROPER(TRIM(Raw_Data!D185))</f>
        <v>Nancy Collins</v>
      </c>
      <c r="E185" s="2" t="str">
        <f>UPPER(TRIM(Raw_Data!E185))</f>
        <v>P006</v>
      </c>
      <c r="F185" s="2" t="str">
        <f>PROPER(TRIM(Raw_Data!F185))</f>
        <v>Office Chair</v>
      </c>
      <c r="G185" s="2" t="str">
        <f>PROPER(TRIM(Raw_Data!G185))</f>
        <v>Furniture</v>
      </c>
      <c r="H185" s="2">
        <f>Raw_Data!H185</f>
        <v>5</v>
      </c>
      <c r="I185" s="4">
        <f>Raw_Data!I185</f>
        <v>199.99</v>
      </c>
      <c r="J185" s="2" t="str">
        <f>PROPER(TRIM(Raw_Data!J185))</f>
        <v>Paypal</v>
      </c>
      <c r="K185" s="2" t="str">
        <f>PROPER(TRIM(Raw_Data!K185))</f>
        <v>Central</v>
      </c>
      <c r="L185" s="2" t="str">
        <f>PROPER(TRIM(Raw_Data!L185))</f>
        <v>Standard</v>
      </c>
      <c r="M185" s="3">
        <f>Raw_Data!M185</f>
        <v>44633</v>
      </c>
      <c r="N185" s="4">
        <f>Raw_Data!N185</f>
        <v>999.95</v>
      </c>
    </row>
    <row r="186" spans="1:14" ht="15" customHeight="1" x14ac:dyDescent="0.35">
      <c r="A186" s="2" t="str">
        <f>UPPER(TRIM(Raw_Data!A186))</f>
        <v>TRX0243</v>
      </c>
      <c r="B186" s="3">
        <f>Raw_Data!B186</f>
        <v>45667</v>
      </c>
      <c r="C186" s="2" t="str">
        <f>UPPER(TRIM(Raw_Data!C186))</f>
        <v>CUST048</v>
      </c>
      <c r="D186" s="2" t="str">
        <f>PROPER(TRIM(Raw_Data!D186))</f>
        <v>Virginia Sanders</v>
      </c>
      <c r="E186" s="2" t="str">
        <f>UPPER(TRIM(Raw_Data!E186))</f>
        <v>P009</v>
      </c>
      <c r="F186" s="2" t="str">
        <f>PROPER(TRIM(Raw_Data!F186))</f>
        <v>Monitor</v>
      </c>
      <c r="G186" s="2" t="str">
        <f>PROPER(TRIM(Raw_Data!G186))</f>
        <v>Electronics</v>
      </c>
      <c r="H186" s="2">
        <f>Raw_Data!H186</f>
        <v>5</v>
      </c>
      <c r="I186" s="4">
        <f>Raw_Data!I186</f>
        <v>249.99</v>
      </c>
      <c r="J186" s="2" t="str">
        <f>PROPER(TRIM(Raw_Data!J186))</f>
        <v>Credit Card</v>
      </c>
      <c r="K186" s="2" t="str">
        <f>PROPER(TRIM(Raw_Data!K186))</f>
        <v>South</v>
      </c>
      <c r="L186" s="2" t="str">
        <f>PROPER(TRIM(Raw_Data!L186))</f>
        <v>Basic</v>
      </c>
      <c r="M186" s="3">
        <f>Raw_Data!M186</f>
        <v>45330</v>
      </c>
      <c r="N186" s="4">
        <f>Raw_Data!N186</f>
        <v>1249.95</v>
      </c>
    </row>
    <row r="187" spans="1:14" ht="15" customHeight="1" x14ac:dyDescent="0.35">
      <c r="A187" s="2" t="str">
        <f>UPPER(TRIM(Raw_Data!A187))</f>
        <v>TRX0084</v>
      </c>
      <c r="B187" s="3">
        <f>Raw_Data!B187</f>
        <v>45668</v>
      </c>
      <c r="C187" s="2" t="str">
        <f>UPPER(TRIM(Raw_Data!C187))</f>
        <v>CUST031</v>
      </c>
      <c r="D187" s="2" t="str">
        <f>PROPER(TRIM(Raw_Data!D187))</f>
        <v>Steven Turner</v>
      </c>
      <c r="E187" s="2" t="str">
        <f>UPPER(TRIM(Raw_Data!E187))</f>
        <v>P003</v>
      </c>
      <c r="F187" s="2" t="str">
        <f>PROPER(TRIM(Raw_Data!F187))</f>
        <v>Headphones</v>
      </c>
      <c r="G187" s="2" t="str">
        <f>PROPER(TRIM(Raw_Data!G187))</f>
        <v>Electronics</v>
      </c>
      <c r="H187" s="2">
        <f>Raw_Data!H187</f>
        <v>4</v>
      </c>
      <c r="I187" s="4">
        <f>Raw_Data!I187</f>
        <v>149.99</v>
      </c>
      <c r="J187" s="2" t="str">
        <f>PROPER(TRIM(Raw_Data!J187))</f>
        <v>Debit Card</v>
      </c>
      <c r="K187" s="2" t="str">
        <f>PROPER(TRIM(Raw_Data!K187))</f>
        <v>East</v>
      </c>
      <c r="L187" s="2" t="str">
        <f>PROPER(TRIM(Raw_Data!L187))</f>
        <v>Standard</v>
      </c>
      <c r="M187" s="3">
        <f>Raw_Data!M187</f>
        <v>44536</v>
      </c>
      <c r="N187" s="4">
        <f>Raw_Data!N187</f>
        <v>599.96</v>
      </c>
    </row>
    <row r="188" spans="1:14" ht="15" customHeight="1" x14ac:dyDescent="0.35">
      <c r="A188" s="2" t="str">
        <f>UPPER(TRIM(Raw_Data!A188))</f>
        <v>TRX0238</v>
      </c>
      <c r="B188" s="3">
        <f>Raw_Data!B188</f>
        <v>45668</v>
      </c>
      <c r="C188" s="2" t="str">
        <f>UPPER(TRIM(Raw_Data!C188))</f>
        <v>CUST038</v>
      </c>
      <c r="D188" s="2" t="str">
        <f>PROPER(TRIM(Raw_Data!D188))</f>
        <v>Michelle Rogers</v>
      </c>
      <c r="E188" s="2" t="str">
        <f>UPPER(TRIM(Raw_Data!E188))</f>
        <v>P002</v>
      </c>
      <c r="F188" s="2" t="str">
        <f>PROPER(TRIM(Raw_Data!F188))</f>
        <v>Smartphone</v>
      </c>
      <c r="G188" s="2" t="str">
        <f>PROPER(TRIM(Raw_Data!G188))</f>
        <v>Electronics</v>
      </c>
      <c r="H188" s="2">
        <f>Raw_Data!H188</f>
        <v>3</v>
      </c>
      <c r="I188" s="4">
        <f>Raw_Data!I188</f>
        <v>699.99</v>
      </c>
      <c r="J188" s="2" t="str">
        <f>PROPER(TRIM(Raw_Data!J188))</f>
        <v>Cash</v>
      </c>
      <c r="K188" s="2" t="str">
        <f>PROPER(TRIM(Raw_Data!K188))</f>
        <v>North</v>
      </c>
      <c r="L188" s="2" t="str">
        <f>PROPER(TRIM(Raw_Data!L188))</f>
        <v>Premium</v>
      </c>
      <c r="M188" s="3">
        <f>Raw_Data!M188</f>
        <v>44602</v>
      </c>
      <c r="N188" s="4">
        <f>Raw_Data!N188</f>
        <v>2099.9699999999998</v>
      </c>
    </row>
    <row r="189" spans="1:14" ht="15" customHeight="1" x14ac:dyDescent="0.35">
      <c r="A189" s="2" t="str">
        <f>UPPER(TRIM(Raw_Data!A189))</f>
        <v>TRX0102</v>
      </c>
      <c r="B189" s="3">
        <f>Raw_Data!B189</f>
        <v>45670</v>
      </c>
      <c r="C189" s="2" t="str">
        <f>UPPER(TRIM(Raw_Data!C189))</f>
        <v>CUST045</v>
      </c>
      <c r="D189" s="2" t="str">
        <f>PROPER(TRIM(Raw_Data!D189))</f>
        <v>Douglas Watson</v>
      </c>
      <c r="E189" s="2" t="str">
        <f>UPPER(TRIM(Raw_Data!E189))</f>
        <v>P004</v>
      </c>
      <c r="F189" s="2" t="str">
        <f>PROPER(TRIM(Raw_Data!F189))</f>
        <v>Coffee Maker</v>
      </c>
      <c r="G189" s="2" t="str">
        <f>PROPER(TRIM(Raw_Data!G189))</f>
        <v>Appliances</v>
      </c>
      <c r="H189" s="2">
        <f>Raw_Data!H189</f>
        <v>1</v>
      </c>
      <c r="I189" s="4">
        <f>Raw_Data!I189</f>
        <v>79.989999999999995</v>
      </c>
      <c r="J189" s="2" t="str">
        <f>PROPER(TRIM(Raw_Data!J189))</f>
        <v>Credit Card</v>
      </c>
      <c r="K189" s="2" t="str">
        <f>PROPER(TRIM(Raw_Data!K189))</f>
        <v>South</v>
      </c>
      <c r="L189" s="2" t="str">
        <f>PROPER(TRIM(Raw_Data!L189))</f>
        <v>Basic</v>
      </c>
      <c r="M189" s="3">
        <f>Raw_Data!M189</f>
        <v>45322</v>
      </c>
      <c r="N189" s="4">
        <f>Raw_Data!N189</f>
        <v>79.989999999999995</v>
      </c>
    </row>
    <row r="190" spans="1:14" ht="15" customHeight="1" x14ac:dyDescent="0.35">
      <c r="A190" s="2" t="str">
        <f>UPPER(TRIM(Raw_Data!A190))</f>
        <v>TRX0022</v>
      </c>
      <c r="B190" s="3">
        <f>Raw_Data!B190</f>
        <v>45670</v>
      </c>
      <c r="C190" s="2" t="str">
        <f>UPPER(TRIM(Raw_Data!C190))</f>
        <v>CUST025</v>
      </c>
      <c r="D190" s="2" t="str">
        <f>PROPER(TRIM(Raw_Data!D190))</f>
        <v>Mark Carter</v>
      </c>
      <c r="E190" s="2" t="str">
        <f>UPPER(TRIM(Raw_Data!E190))</f>
        <v>P007</v>
      </c>
      <c r="F190" s="2" t="str">
        <f>PROPER(TRIM(Raw_Data!F190))</f>
        <v>Desk</v>
      </c>
      <c r="G190" s="2" t="str">
        <f>PROPER(TRIM(Raw_Data!G190))</f>
        <v>Furniture</v>
      </c>
      <c r="H190" s="2">
        <f>Raw_Data!H190</f>
        <v>1</v>
      </c>
      <c r="I190" s="4">
        <f>Raw_Data!I190</f>
        <v>299.99</v>
      </c>
      <c r="J190" s="2" t="str">
        <f>PROPER(TRIM(Raw_Data!J190))</f>
        <v>Credit Card</v>
      </c>
      <c r="K190" s="2" t="str">
        <f>PROPER(TRIM(Raw_Data!K190))</f>
        <v>North</v>
      </c>
      <c r="L190" s="2" t="str">
        <f>PROPER(TRIM(Raw_Data!L190))</f>
        <v>Basic</v>
      </c>
      <c r="M190" s="3">
        <f>Raw_Data!M190</f>
        <v>44436</v>
      </c>
      <c r="N190" s="4">
        <f>Raw_Data!N190</f>
        <v>299.99</v>
      </c>
    </row>
    <row r="191" spans="1:14" ht="15" customHeight="1" x14ac:dyDescent="0.35">
      <c r="A191" s="2" t="str">
        <f>UPPER(TRIM(Raw_Data!A191))</f>
        <v>TRX0087</v>
      </c>
      <c r="B191" s="3">
        <f>Raw_Data!B191</f>
        <v>45671</v>
      </c>
      <c r="C191" s="2" t="str">
        <f>UPPER(TRIM(Raw_Data!C191))</f>
        <v>CUST028</v>
      </c>
      <c r="D191" s="2" t="str">
        <f>PROPER(TRIM(Raw_Data!D191))</f>
        <v>Betty Campbell</v>
      </c>
      <c r="E191" s="2" t="str">
        <f>UPPER(TRIM(Raw_Data!E191))</f>
        <v>P009</v>
      </c>
      <c r="F191" s="2" t="str">
        <f>PROPER(TRIM(Raw_Data!F191))</f>
        <v>Monitor</v>
      </c>
      <c r="G191" s="2" t="str">
        <f>PROPER(TRIM(Raw_Data!G191))</f>
        <v>Electronics</v>
      </c>
      <c r="H191" s="2">
        <f>Raw_Data!H191</f>
        <v>4</v>
      </c>
      <c r="I191" s="4">
        <f>Raw_Data!I191</f>
        <v>249.99</v>
      </c>
      <c r="J191" s="2" t="str">
        <f>PROPER(TRIM(Raw_Data!J191))</f>
        <v>Credit Card</v>
      </c>
      <c r="K191" s="2" t="str">
        <f>PROPER(TRIM(Raw_Data!K191))</f>
        <v>North</v>
      </c>
      <c r="L191" s="2" t="str">
        <f>PROPER(TRIM(Raw_Data!L191))</f>
        <v>Premium</v>
      </c>
      <c r="M191" s="3">
        <f>Raw_Data!M191</f>
        <v>44460</v>
      </c>
      <c r="N191" s="4">
        <f>Raw_Data!N191</f>
        <v>999.96</v>
      </c>
    </row>
    <row r="192" spans="1:14" ht="15" customHeight="1" x14ac:dyDescent="0.35">
      <c r="A192" s="2" t="str">
        <f>UPPER(TRIM(Raw_Data!A192))</f>
        <v>TRX0107</v>
      </c>
      <c r="B192" s="3">
        <f>Raw_Data!B192</f>
        <v>45671</v>
      </c>
      <c r="C192" s="2" t="str">
        <f>UPPER(TRIM(Raw_Data!C192))</f>
        <v>CUST030</v>
      </c>
      <c r="D192" s="2" t="str">
        <f>PROPER(TRIM(Raw_Data!D192))</f>
        <v>Helen Roberts</v>
      </c>
      <c r="E192" s="2" t="str">
        <f>UPPER(TRIM(Raw_Data!E192))</f>
        <v>P003</v>
      </c>
      <c r="F192" s="2" t="str">
        <f>PROPER(TRIM(Raw_Data!F192))</f>
        <v>Headphones</v>
      </c>
      <c r="G192" s="2" t="str">
        <f>PROPER(TRIM(Raw_Data!G192))</f>
        <v>Electronics</v>
      </c>
      <c r="H192" s="2">
        <f>Raw_Data!H192</f>
        <v>2</v>
      </c>
      <c r="I192" s="4">
        <f>Raw_Data!I192</f>
        <v>149.99</v>
      </c>
      <c r="J192" s="2" t="str">
        <f>PROPER(TRIM(Raw_Data!J192))</f>
        <v>Cash</v>
      </c>
      <c r="K192" s="2" t="str">
        <f>PROPER(TRIM(Raw_Data!K192))</f>
        <v>North</v>
      </c>
      <c r="L192" s="2" t="str">
        <f>PROPER(TRIM(Raw_Data!L192))</f>
        <v>Standard</v>
      </c>
      <c r="M192" s="3">
        <f>Raw_Data!M192</f>
        <v>44913</v>
      </c>
      <c r="N192" s="4">
        <f>Raw_Data!N192</f>
        <v>299.98</v>
      </c>
    </row>
    <row r="193" spans="1:14" ht="15" customHeight="1" x14ac:dyDescent="0.35">
      <c r="A193" s="2" t="str">
        <f>UPPER(TRIM(Raw_Data!A193))</f>
        <v>TRX0051</v>
      </c>
      <c r="B193" s="3">
        <f>Raw_Data!B193</f>
        <v>45671</v>
      </c>
      <c r="C193" s="2" t="str">
        <f>UPPER(TRIM(Raw_Data!C193))</f>
        <v>CUST032</v>
      </c>
      <c r="D193" s="2" t="str">
        <f>PROPER(TRIM(Raw_Data!D193))</f>
        <v>Sandra Phillips</v>
      </c>
      <c r="E193" s="2" t="str">
        <f>UPPER(TRIM(Raw_Data!E193))</f>
        <v>P007</v>
      </c>
      <c r="F193" s="2" t="str">
        <f>PROPER(TRIM(Raw_Data!F193))</f>
        <v>Desk</v>
      </c>
      <c r="G193" s="2" t="str">
        <f>PROPER(TRIM(Raw_Data!G193))</f>
        <v>Furniture</v>
      </c>
      <c r="H193" s="2">
        <f>Raw_Data!H193</f>
        <v>3</v>
      </c>
      <c r="I193" s="4">
        <f>Raw_Data!I193</f>
        <v>299.99</v>
      </c>
      <c r="J193" s="2" t="str">
        <f>PROPER(TRIM(Raw_Data!J193))</f>
        <v>Credit Card</v>
      </c>
      <c r="K193" s="2" t="str">
        <f>PROPER(TRIM(Raw_Data!K193))</f>
        <v>South</v>
      </c>
      <c r="L193" s="2" t="str">
        <f>PROPER(TRIM(Raw_Data!L193))</f>
        <v>Basic</v>
      </c>
      <c r="M193" s="3">
        <f>Raw_Data!M193</f>
        <v>45204</v>
      </c>
      <c r="N193" s="4">
        <f>Raw_Data!N193</f>
        <v>899.97</v>
      </c>
    </row>
    <row r="194" spans="1:14" ht="15" customHeight="1" x14ac:dyDescent="0.35">
      <c r="A194" s="2" t="str">
        <f>UPPER(TRIM(Raw_Data!A194))</f>
        <v>TRX0106</v>
      </c>
      <c r="B194" s="3">
        <f>Raw_Data!B194</f>
        <v>45673</v>
      </c>
      <c r="C194" s="2" t="str">
        <f>UPPER(TRIM(Raw_Data!C194))</f>
        <v>CUST039</v>
      </c>
      <c r="D194" s="2" t="str">
        <f>PROPER(TRIM(Raw_Data!D194))</f>
        <v>Lawrence Reed</v>
      </c>
      <c r="E194" s="2" t="str">
        <f>UPPER(TRIM(Raw_Data!E194))</f>
        <v>P006</v>
      </c>
      <c r="F194" s="2" t="str">
        <f>PROPER(TRIM(Raw_Data!F194))</f>
        <v>Office Chair</v>
      </c>
      <c r="G194" s="2" t="str">
        <f>PROPER(TRIM(Raw_Data!G194))</f>
        <v>Furniture</v>
      </c>
      <c r="H194" s="2">
        <f>Raw_Data!H194</f>
        <v>4</v>
      </c>
      <c r="I194" s="4">
        <f>Raw_Data!I194</f>
        <v>199.99</v>
      </c>
      <c r="J194" s="2" t="str">
        <f>PROPER(TRIM(Raw_Data!J194))</f>
        <v>Debit Card</v>
      </c>
      <c r="K194" s="2" t="str">
        <f>PROPER(TRIM(Raw_Data!K194))</f>
        <v>South</v>
      </c>
      <c r="L194" s="2" t="str">
        <f>PROPER(TRIM(Raw_Data!L194))</f>
        <v>Standard</v>
      </c>
      <c r="M194" s="3">
        <f>Raw_Data!M194</f>
        <v>44544</v>
      </c>
      <c r="N194" s="4">
        <f>Raw_Data!N194</f>
        <v>799.96</v>
      </c>
    </row>
    <row r="195" spans="1:14" ht="15" customHeight="1" x14ac:dyDescent="0.35">
      <c r="A195" s="2" t="str">
        <f>UPPER(TRIM(Raw_Data!A195))</f>
        <v>TRX0059</v>
      </c>
      <c r="B195" s="3">
        <f>Raw_Data!B195</f>
        <v>45673</v>
      </c>
      <c r="C195" s="2" t="str">
        <f>UPPER(TRIM(Raw_Data!C195))</f>
        <v>CUST016</v>
      </c>
      <c r="D195" s="2" t="str">
        <f>PROPER(TRIM(Raw_Data!D195))</f>
        <v>Elizabeth Hall</v>
      </c>
      <c r="E195" s="2" t="str">
        <f>UPPER(TRIM(Raw_Data!E195))</f>
        <v>P007</v>
      </c>
      <c r="F195" s="2" t="str">
        <f>PROPER(TRIM(Raw_Data!F195))</f>
        <v>Desk</v>
      </c>
      <c r="G195" s="2" t="str">
        <f>PROPER(TRIM(Raw_Data!G195))</f>
        <v>Furniture</v>
      </c>
      <c r="H195" s="2">
        <f>Raw_Data!H195</f>
        <v>5</v>
      </c>
      <c r="I195" s="4">
        <f>Raw_Data!I195</f>
        <v>299.99</v>
      </c>
      <c r="J195" s="2" t="str">
        <f>PROPER(TRIM(Raw_Data!J195))</f>
        <v>Debit Card</v>
      </c>
      <c r="K195" s="2" t="str">
        <f>PROPER(TRIM(Raw_Data!K195))</f>
        <v>Central</v>
      </c>
      <c r="L195" s="2" t="str">
        <f>PROPER(TRIM(Raw_Data!L195))</f>
        <v>Basic</v>
      </c>
      <c r="M195" s="3">
        <f>Raw_Data!M195</f>
        <v>44431</v>
      </c>
      <c r="N195" s="4">
        <f>Raw_Data!N195</f>
        <v>1499.95</v>
      </c>
    </row>
    <row r="196" spans="1:14" ht="15" customHeight="1" x14ac:dyDescent="0.35">
      <c r="A196" s="2" t="str">
        <f>UPPER(TRIM(Raw_Data!A196))</f>
        <v>TRX0072</v>
      </c>
      <c r="B196" s="3">
        <f>Raw_Data!B196</f>
        <v>45673</v>
      </c>
      <c r="C196" s="2" t="str">
        <f>UPPER(TRIM(Raw_Data!C196))</f>
        <v>CUST009</v>
      </c>
      <c r="D196" s="2" t="str">
        <f>PROPER(TRIM(Raw_Data!D196))</f>
        <v>Robert Thomas</v>
      </c>
      <c r="E196" s="2" t="str">
        <f>UPPER(TRIM(Raw_Data!E196))</f>
        <v>P008</v>
      </c>
      <c r="F196" s="2" t="str">
        <f>PROPER(TRIM(Raw_Data!F196))</f>
        <v>Bookshelf</v>
      </c>
      <c r="G196" s="2" t="str">
        <f>PROPER(TRIM(Raw_Data!G196))</f>
        <v>Furniture</v>
      </c>
      <c r="H196" s="2">
        <f>Raw_Data!H196</f>
        <v>3</v>
      </c>
      <c r="I196" s="4">
        <f>Raw_Data!I196</f>
        <v>149.99</v>
      </c>
      <c r="J196" s="2" t="str">
        <f>PROPER(TRIM(Raw_Data!J196))</f>
        <v>Credit Card</v>
      </c>
      <c r="K196" s="2" t="str">
        <f>PROPER(TRIM(Raw_Data!K196))</f>
        <v>East</v>
      </c>
      <c r="L196" s="2" t="str">
        <f>PROPER(TRIM(Raw_Data!L196))</f>
        <v>Standard</v>
      </c>
      <c r="M196" s="3">
        <f>Raw_Data!M196</f>
        <v>44395</v>
      </c>
      <c r="N196" s="4">
        <f>Raw_Data!N196</f>
        <v>449.97</v>
      </c>
    </row>
    <row r="197" spans="1:14" ht="15" customHeight="1" x14ac:dyDescent="0.35">
      <c r="A197" s="2" t="str">
        <f>UPPER(TRIM(Raw_Data!A197))</f>
        <v>TRX0110</v>
      </c>
      <c r="B197" s="3">
        <f>Raw_Data!B197</f>
        <v>45676</v>
      </c>
      <c r="C197" s="2" t="str">
        <f>UPPER(TRIM(Raw_Data!C197))</f>
        <v>CUST006</v>
      </c>
      <c r="D197" s="2" t="str">
        <f>PROPER(TRIM(Raw_Data!D197))</f>
        <v>Lisa Anderson</v>
      </c>
      <c r="E197" s="2" t="str">
        <f>UPPER(TRIM(Raw_Data!E197))</f>
        <v>P005</v>
      </c>
      <c r="F197" s="2" t="str">
        <f>PROPER(TRIM(Raw_Data!F197))</f>
        <v>Blender</v>
      </c>
      <c r="G197" s="2" t="str">
        <f>PROPER(TRIM(Raw_Data!G197))</f>
        <v>Appliances</v>
      </c>
      <c r="H197" s="2">
        <f>Raw_Data!H197</f>
        <v>5</v>
      </c>
      <c r="I197" s="4">
        <f>Raw_Data!I197</f>
        <v>59.99</v>
      </c>
      <c r="J197" s="2" t="str">
        <f>PROPER(TRIM(Raw_Data!J197))</f>
        <v>Debit Card</v>
      </c>
      <c r="K197" s="2" t="str">
        <f>PROPER(TRIM(Raw_Data!K197))</f>
        <v>East</v>
      </c>
      <c r="L197" s="2" t="str">
        <f>PROPER(TRIM(Raw_Data!L197))</f>
        <v>Basic</v>
      </c>
      <c r="M197" s="3">
        <f>Raw_Data!M197</f>
        <v>44642</v>
      </c>
      <c r="N197" s="4">
        <f>Raw_Data!N197</f>
        <v>299.95</v>
      </c>
    </row>
    <row r="198" spans="1:14" ht="15" customHeight="1" x14ac:dyDescent="0.35">
      <c r="A198" s="2" t="str">
        <f>UPPER(TRIM(Raw_Data!A198))</f>
        <v>TRX0126</v>
      </c>
      <c r="B198" s="3">
        <f>Raw_Data!B198</f>
        <v>45682</v>
      </c>
      <c r="C198" s="2" t="str">
        <f>UPPER(TRIM(Raw_Data!C198))</f>
        <v>CUST022</v>
      </c>
      <c r="D198" s="2" t="str">
        <f>PROPER(TRIM(Raw_Data!D198))</f>
        <v>Susan Green</v>
      </c>
      <c r="E198" s="2" t="str">
        <f>UPPER(TRIM(Raw_Data!E198))</f>
        <v>P005</v>
      </c>
      <c r="F198" s="2" t="str">
        <f>PROPER(TRIM(Raw_Data!F198))</f>
        <v>Blender</v>
      </c>
      <c r="G198" s="2" t="str">
        <f>PROPER(TRIM(Raw_Data!G198))</f>
        <v>Appliances</v>
      </c>
      <c r="H198" s="2">
        <f>Raw_Data!H198</f>
        <v>4</v>
      </c>
      <c r="I198" s="4">
        <f>Raw_Data!I198</f>
        <v>59.99</v>
      </c>
      <c r="J198" s="2" t="str">
        <f>PROPER(TRIM(Raw_Data!J198))</f>
        <v>Debit Card</v>
      </c>
      <c r="K198" s="2" t="str">
        <f>PROPER(TRIM(Raw_Data!K198))</f>
        <v>East</v>
      </c>
      <c r="L198" s="2" t="str">
        <f>PROPER(TRIM(Raw_Data!L198))</f>
        <v>Standard</v>
      </c>
      <c r="M198" s="3">
        <f>Raw_Data!M198</f>
        <v>44564</v>
      </c>
      <c r="N198" s="4">
        <f>Raw_Data!N198</f>
        <v>239.96</v>
      </c>
    </row>
    <row r="199" spans="1:14" ht="15" customHeight="1" x14ac:dyDescent="0.35">
      <c r="A199" s="2" t="str">
        <f>UPPER(TRIM(Raw_Data!A199))</f>
        <v>TRX0159</v>
      </c>
      <c r="B199" s="3">
        <f>Raw_Data!B199</f>
        <v>45683</v>
      </c>
      <c r="C199" s="2" t="str">
        <f>UPPER(TRIM(Raw_Data!C199))</f>
        <v>CUST024</v>
      </c>
      <c r="D199" s="2" t="str">
        <f>PROPER(TRIM(Raw_Data!D199))</f>
        <v>Dorothy Nelson</v>
      </c>
      <c r="E199" s="2" t="str">
        <f>UPPER(TRIM(Raw_Data!E199))</f>
        <v>P009</v>
      </c>
      <c r="F199" s="2" t="str">
        <f>PROPER(TRIM(Raw_Data!F199))</f>
        <v>Monitor</v>
      </c>
      <c r="G199" s="2" t="str">
        <f>PROPER(TRIM(Raw_Data!G199))</f>
        <v>Electronics</v>
      </c>
      <c r="H199" s="2">
        <f>Raw_Data!H199</f>
        <v>4</v>
      </c>
      <c r="I199" s="4">
        <f>Raw_Data!I199</f>
        <v>249.99</v>
      </c>
      <c r="J199" s="2" t="str">
        <f>PROPER(TRIM(Raw_Data!J199))</f>
        <v>Debit Card</v>
      </c>
      <c r="K199" s="2" t="str">
        <f>PROPER(TRIM(Raw_Data!K199))</f>
        <v>Central</v>
      </c>
      <c r="L199" s="2" t="str">
        <f>PROPER(TRIM(Raw_Data!L199))</f>
        <v>Premium</v>
      </c>
      <c r="M199" s="3">
        <f>Raw_Data!M199</f>
        <v>45217</v>
      </c>
      <c r="N199" s="4">
        <f>Raw_Data!N199</f>
        <v>999.96</v>
      </c>
    </row>
    <row r="200" spans="1:14" ht="15" customHeight="1" x14ac:dyDescent="0.35">
      <c r="A200" s="2" t="str">
        <f>UPPER(TRIM(Raw_Data!A200))</f>
        <v>TRX0030</v>
      </c>
      <c r="B200" s="3">
        <f>Raw_Data!B200</f>
        <v>45686</v>
      </c>
      <c r="C200" s="2" t="str">
        <f>UPPER(TRIM(Raw_Data!C200))</f>
        <v>CUST011</v>
      </c>
      <c r="D200" s="2" t="str">
        <f>PROPER(TRIM(Raw_Data!D200))</f>
        <v>William White</v>
      </c>
      <c r="E200" s="2" t="str">
        <f>UPPER(TRIM(Raw_Data!E200))</f>
        <v>P001</v>
      </c>
      <c r="F200" s="2" t="str">
        <f>PROPER(TRIM(Raw_Data!F200))</f>
        <v>Laptop</v>
      </c>
      <c r="G200" s="2" t="str">
        <f>PROPER(TRIM(Raw_Data!G200))</f>
        <v>Electronics</v>
      </c>
      <c r="H200" s="2">
        <f>Raw_Data!H200</f>
        <v>4</v>
      </c>
      <c r="I200" s="4">
        <f>Raw_Data!I200</f>
        <v>899.99</v>
      </c>
      <c r="J200" s="2" t="str">
        <f>PROPER(TRIM(Raw_Data!J200))</f>
        <v>Paypal</v>
      </c>
      <c r="K200" s="2" t="str">
        <f>PROPER(TRIM(Raw_Data!K200))</f>
        <v>Central</v>
      </c>
      <c r="L200" s="2" t="str">
        <f>PROPER(TRIM(Raw_Data!L200))</f>
        <v>Basic</v>
      </c>
      <c r="M200" s="3">
        <f>Raw_Data!M200</f>
        <v>44734</v>
      </c>
      <c r="N200" s="4">
        <f>Raw_Data!N200</f>
        <v>3599.96</v>
      </c>
    </row>
    <row r="201" spans="1:14" ht="15" customHeight="1" x14ac:dyDescent="0.35">
      <c r="A201" s="2" t="str">
        <f>UPPER(TRIM(Raw_Data!A201))</f>
        <v>TRX0178</v>
      </c>
      <c r="B201" s="3">
        <f>Raw_Data!B201</f>
        <v>45686</v>
      </c>
      <c r="C201" s="2" t="str">
        <f>UPPER(TRIM(Raw_Data!C201))</f>
        <v>CUST025</v>
      </c>
      <c r="D201" s="2" t="str">
        <f>PROPER(TRIM(Raw_Data!D201))</f>
        <v>Mark Carter</v>
      </c>
      <c r="E201" s="2" t="str">
        <f>UPPER(TRIM(Raw_Data!E201))</f>
        <v>P007</v>
      </c>
      <c r="F201" s="2" t="str">
        <f>PROPER(TRIM(Raw_Data!F201))</f>
        <v>Desk</v>
      </c>
      <c r="G201" s="2" t="str">
        <f>PROPER(TRIM(Raw_Data!G201))</f>
        <v>Furniture</v>
      </c>
      <c r="H201" s="2">
        <f>Raw_Data!H201</f>
        <v>3</v>
      </c>
      <c r="I201" s="4">
        <f>Raw_Data!I201</f>
        <v>299.99</v>
      </c>
      <c r="J201" s="2" t="str">
        <f>PROPER(TRIM(Raw_Data!J201))</f>
        <v>Debit Card</v>
      </c>
      <c r="K201" s="2" t="str">
        <f>PROPER(TRIM(Raw_Data!K201))</f>
        <v>West</v>
      </c>
      <c r="L201" s="2" t="str">
        <f>PROPER(TRIM(Raw_Data!L201))</f>
        <v>Standard</v>
      </c>
      <c r="M201" s="3">
        <f>Raw_Data!M201</f>
        <v>44952</v>
      </c>
      <c r="N201" s="4">
        <f>Raw_Data!N201</f>
        <v>899.97</v>
      </c>
    </row>
    <row r="202" spans="1:14" ht="15" customHeight="1" x14ac:dyDescent="0.35">
      <c r="A202" s="2" t="str">
        <f>UPPER(TRIM(Raw_Data!A202))</f>
        <v>TRX0188</v>
      </c>
      <c r="B202" s="3">
        <f>Raw_Data!B202</f>
        <v>45686</v>
      </c>
      <c r="C202" s="2" t="str">
        <f>UPPER(TRIM(Raw_Data!C202))</f>
        <v>CUST045</v>
      </c>
      <c r="D202" s="2" t="str">
        <f>PROPER(TRIM(Raw_Data!D202))</f>
        <v>Douglas Watson</v>
      </c>
      <c r="E202" s="2" t="str">
        <f>UPPER(TRIM(Raw_Data!E202))</f>
        <v>P002</v>
      </c>
      <c r="F202" s="2" t="str">
        <f>PROPER(TRIM(Raw_Data!F202))</f>
        <v>Smartphone</v>
      </c>
      <c r="G202" s="2" t="str">
        <f>PROPER(TRIM(Raw_Data!G202))</f>
        <v>Electronics</v>
      </c>
      <c r="H202" s="2">
        <f>Raw_Data!H202</f>
        <v>2</v>
      </c>
      <c r="I202" s="4">
        <f>Raw_Data!I202</f>
        <v>699.99</v>
      </c>
      <c r="J202" s="2" t="str">
        <f>PROPER(TRIM(Raw_Data!J202))</f>
        <v>Debit Card</v>
      </c>
      <c r="K202" s="2" t="str">
        <f>PROPER(TRIM(Raw_Data!K202))</f>
        <v>Central</v>
      </c>
      <c r="L202" s="2" t="str">
        <f>PROPER(TRIM(Raw_Data!L202))</f>
        <v>Premium</v>
      </c>
      <c r="M202" s="3">
        <f>Raw_Data!M202</f>
        <v>44681</v>
      </c>
      <c r="N202" s="4">
        <f>Raw_Data!N202</f>
        <v>1399.98</v>
      </c>
    </row>
    <row r="203" spans="1:14" ht="15" customHeight="1" x14ac:dyDescent="0.35">
      <c r="A203" s="2" t="str">
        <f>UPPER(TRIM(Raw_Data!A203))</f>
        <v>TRX0010</v>
      </c>
      <c r="B203" s="3">
        <f>Raw_Data!B203</f>
        <v>45688</v>
      </c>
      <c r="C203" s="2" t="str">
        <f>UPPER(TRIM(Raw_Data!C203))</f>
        <v>CUST026</v>
      </c>
      <c r="D203" s="2" t="str">
        <f>PROPER(TRIM(Raw_Data!D203))</f>
        <v>Karen Hill</v>
      </c>
      <c r="E203" s="2" t="str">
        <f>UPPER(TRIM(Raw_Data!E203))</f>
        <v>P002</v>
      </c>
      <c r="F203" s="2" t="str">
        <f>PROPER(TRIM(Raw_Data!F203))</f>
        <v>Smartphone</v>
      </c>
      <c r="G203" s="2" t="str">
        <f>PROPER(TRIM(Raw_Data!G203))</f>
        <v>Electronics</v>
      </c>
      <c r="H203" s="2">
        <f>Raw_Data!H203</f>
        <v>4</v>
      </c>
      <c r="I203" s="4">
        <f>Raw_Data!I203</f>
        <v>699.99</v>
      </c>
      <c r="J203" s="2" t="str">
        <f>PROPER(TRIM(Raw_Data!J203))</f>
        <v>Debit Card</v>
      </c>
      <c r="K203" s="2" t="str">
        <f>PROPER(TRIM(Raw_Data!K203))</f>
        <v>West</v>
      </c>
      <c r="L203" s="2" t="str">
        <f>PROPER(TRIM(Raw_Data!L203))</f>
        <v>Premium</v>
      </c>
      <c r="M203" s="3">
        <f>Raw_Data!M203</f>
        <v>44692</v>
      </c>
      <c r="N203" s="4">
        <f>Raw_Data!N203</f>
        <v>2799.96</v>
      </c>
    </row>
    <row r="204" spans="1:14" ht="15" customHeight="1" x14ac:dyDescent="0.35">
      <c r="A204" s="2" t="str">
        <f>UPPER(TRIM(Raw_Data!A204))</f>
        <v>TRX0069</v>
      </c>
      <c r="B204" s="3">
        <f>Raw_Data!B204</f>
        <v>45688</v>
      </c>
      <c r="C204" s="2" t="str">
        <f>UPPER(TRIM(Raw_Data!C204))</f>
        <v>CUST029</v>
      </c>
      <c r="D204" s="2" t="str">
        <f>PROPER(TRIM(Raw_Data!D204))</f>
        <v>Edward Mitchell</v>
      </c>
      <c r="E204" s="2" t="str">
        <f>UPPER(TRIM(Raw_Data!E204))</f>
        <v>P010</v>
      </c>
      <c r="F204" s="2" t="str">
        <f>PROPER(TRIM(Raw_Data!F204))</f>
        <v>Keyboard</v>
      </c>
      <c r="G204" s="2" t="str">
        <f>PROPER(TRIM(Raw_Data!G204))</f>
        <v>Electronics</v>
      </c>
      <c r="H204" s="2">
        <f>Raw_Data!H204</f>
        <v>2</v>
      </c>
      <c r="I204" s="4">
        <f>Raw_Data!I204</f>
        <v>89.99</v>
      </c>
      <c r="J204" s="2" t="str">
        <f>PROPER(TRIM(Raw_Data!J204))</f>
        <v>Debit Card</v>
      </c>
      <c r="K204" s="2" t="str">
        <f>PROPER(TRIM(Raw_Data!K204))</f>
        <v>South</v>
      </c>
      <c r="L204" s="2" t="str">
        <f>PROPER(TRIM(Raw_Data!L204))</f>
        <v>Basic</v>
      </c>
      <c r="M204" s="3">
        <f>Raw_Data!M204</f>
        <v>44777</v>
      </c>
      <c r="N204" s="4">
        <f>Raw_Data!N204</f>
        <v>179.98</v>
      </c>
    </row>
    <row r="205" spans="1:14" ht="15" customHeight="1" x14ac:dyDescent="0.35">
      <c r="A205" s="2" t="str">
        <f>UPPER(TRIM(Raw_Data!A205))</f>
        <v>TRX0166</v>
      </c>
      <c r="B205" s="3">
        <f>Raw_Data!B205</f>
        <v>45688</v>
      </c>
      <c r="C205" s="2" t="str">
        <f>UPPER(TRIM(Raw_Data!C205))</f>
        <v>CUST003</v>
      </c>
      <c r="D205" s="2" t="str">
        <f>PROPER(TRIM(Raw_Data!D205))</f>
        <v>Michael Brown</v>
      </c>
      <c r="E205" s="2" t="str">
        <f>UPPER(TRIM(Raw_Data!E205))</f>
        <v>P010</v>
      </c>
      <c r="F205" s="2" t="str">
        <f>PROPER(TRIM(Raw_Data!F205))</f>
        <v>Keyboard</v>
      </c>
      <c r="G205" s="2" t="str">
        <f>PROPER(TRIM(Raw_Data!G205))</f>
        <v>Electronics</v>
      </c>
      <c r="H205" s="2">
        <f>Raw_Data!H205</f>
        <v>3</v>
      </c>
      <c r="I205" s="4">
        <f>Raw_Data!I205</f>
        <v>89.99</v>
      </c>
      <c r="J205" s="2" t="str">
        <f>PROPER(TRIM(Raw_Data!J205))</f>
        <v>Debit Card</v>
      </c>
      <c r="K205" s="2" t="str">
        <f>PROPER(TRIM(Raw_Data!K205))</f>
        <v>South</v>
      </c>
      <c r="L205" s="2" t="str">
        <f>PROPER(TRIM(Raw_Data!L205))</f>
        <v>Premium</v>
      </c>
      <c r="M205" s="3">
        <f>Raw_Data!M205</f>
        <v>45307</v>
      </c>
      <c r="N205" s="4">
        <f>Raw_Data!N205</f>
        <v>269.97000000000003</v>
      </c>
    </row>
    <row r="206" spans="1:14" ht="15" customHeight="1" x14ac:dyDescent="0.35">
      <c r="A206" s="2" t="str">
        <f>UPPER(TRIM(Raw_Data!A206))</f>
        <v>TRX0219</v>
      </c>
      <c r="B206" s="3">
        <f>Raw_Data!B206</f>
        <v>45692</v>
      </c>
      <c r="C206" s="2" t="str">
        <f>UPPER(TRIM(Raw_Data!C206))</f>
        <v>CUST037</v>
      </c>
      <c r="D206" s="2" t="str">
        <f>PROPER(TRIM(Raw_Data!D206))</f>
        <v>Arthur Edwards</v>
      </c>
      <c r="E206" s="2" t="str">
        <f>UPPER(TRIM(Raw_Data!E206))</f>
        <v>P005</v>
      </c>
      <c r="F206" s="2" t="str">
        <f>PROPER(TRIM(Raw_Data!F206))</f>
        <v>Blender</v>
      </c>
      <c r="G206" s="2" t="str">
        <f>PROPER(TRIM(Raw_Data!G206))</f>
        <v>Appliances</v>
      </c>
      <c r="H206" s="2">
        <f>Raw_Data!H206</f>
        <v>1</v>
      </c>
      <c r="I206" s="4">
        <f>Raw_Data!I206</f>
        <v>59.99</v>
      </c>
      <c r="J206" s="2" t="str">
        <f>PROPER(TRIM(Raw_Data!J206))</f>
        <v>Debit Card</v>
      </c>
      <c r="K206" s="2" t="str">
        <f>PROPER(TRIM(Raw_Data!K206))</f>
        <v>Central</v>
      </c>
      <c r="L206" s="2" t="str">
        <f>PROPER(TRIM(Raw_Data!L206))</f>
        <v>Standard</v>
      </c>
      <c r="M206" s="3">
        <f>Raw_Data!M206</f>
        <v>45045</v>
      </c>
      <c r="N206" s="4">
        <f>Raw_Data!N206</f>
        <v>59.99</v>
      </c>
    </row>
    <row r="207" spans="1:14" ht="15" customHeight="1" x14ac:dyDescent="0.35">
      <c r="A207" s="2" t="str">
        <f>UPPER(TRIM(Raw_Data!A207))</f>
        <v>TRX0024</v>
      </c>
      <c r="B207" s="3">
        <f>Raw_Data!B207</f>
        <v>45695</v>
      </c>
      <c r="C207" s="2" t="str">
        <f>UPPER(TRIM(Raw_Data!C207))</f>
        <v>CUST042</v>
      </c>
      <c r="D207" s="2" t="str">
        <f>PROPER(TRIM(Raw_Data!D207))</f>
        <v>Ruth Brooks</v>
      </c>
      <c r="E207" s="2" t="str">
        <f>UPPER(TRIM(Raw_Data!E207))</f>
        <v>P008</v>
      </c>
      <c r="F207" s="2" t="str">
        <f>PROPER(TRIM(Raw_Data!F207))</f>
        <v>Bookshelf</v>
      </c>
      <c r="G207" s="2" t="str">
        <f>PROPER(TRIM(Raw_Data!G207))</f>
        <v>Furniture</v>
      </c>
      <c r="H207" s="2">
        <f>Raw_Data!H207</f>
        <v>3</v>
      </c>
      <c r="I207" s="4">
        <f>Raw_Data!I207</f>
        <v>149.99</v>
      </c>
      <c r="J207" s="2" t="str">
        <f>PROPER(TRIM(Raw_Data!J207))</f>
        <v>Debit Card</v>
      </c>
      <c r="K207" s="2" t="str">
        <f>PROPER(TRIM(Raw_Data!K207))</f>
        <v>North</v>
      </c>
      <c r="L207" s="2" t="str">
        <f>PROPER(TRIM(Raw_Data!L207))</f>
        <v>Premium</v>
      </c>
      <c r="M207" s="3">
        <f>Raw_Data!M207</f>
        <v>44564</v>
      </c>
      <c r="N207" s="4">
        <f>Raw_Data!N207</f>
        <v>449.97</v>
      </c>
    </row>
    <row r="208" spans="1:14" ht="15" customHeight="1" x14ac:dyDescent="0.35">
      <c r="A208" s="2" t="str">
        <f>UPPER(TRIM(Raw_Data!A208))</f>
        <v>TRX0105</v>
      </c>
      <c r="B208" s="3">
        <f>Raw_Data!B208</f>
        <v>45695</v>
      </c>
      <c r="C208" s="2" t="str">
        <f>UPPER(TRIM(Raw_Data!C208))</f>
        <v>CUST048</v>
      </c>
      <c r="D208" s="2" t="str">
        <f>PROPER(TRIM(Raw_Data!D208))</f>
        <v>Virginia Sanders</v>
      </c>
      <c r="E208" s="2" t="str">
        <f>UPPER(TRIM(Raw_Data!E208))</f>
        <v>P007</v>
      </c>
      <c r="F208" s="2" t="str">
        <f>PROPER(TRIM(Raw_Data!F208))</f>
        <v>Desk</v>
      </c>
      <c r="G208" s="2" t="str">
        <f>PROPER(TRIM(Raw_Data!G208))</f>
        <v>Furniture</v>
      </c>
      <c r="H208" s="2">
        <f>Raw_Data!H208</f>
        <v>5</v>
      </c>
      <c r="I208" s="4">
        <f>Raw_Data!I208</f>
        <v>299.99</v>
      </c>
      <c r="J208" s="2" t="str">
        <f>PROPER(TRIM(Raw_Data!J208))</f>
        <v>Credit Card</v>
      </c>
      <c r="K208" s="2" t="str">
        <f>PROPER(TRIM(Raw_Data!K208))</f>
        <v>South</v>
      </c>
      <c r="L208" s="2" t="str">
        <f>PROPER(TRIM(Raw_Data!L208))</f>
        <v>Basic</v>
      </c>
      <c r="M208" s="3">
        <f>Raw_Data!M208</f>
        <v>44959</v>
      </c>
      <c r="N208" s="4">
        <f>Raw_Data!N208</f>
        <v>1499.95</v>
      </c>
    </row>
    <row r="209" spans="1:14" ht="15" customHeight="1" x14ac:dyDescent="0.35">
      <c r="A209" s="2" t="str">
        <f>UPPER(TRIM(Raw_Data!A209))</f>
        <v>TRX0011</v>
      </c>
      <c r="B209" s="3">
        <f>Raw_Data!B209</f>
        <v>45696</v>
      </c>
      <c r="C209" s="2" t="str">
        <f>UPPER(TRIM(Raw_Data!C209))</f>
        <v>CUST040</v>
      </c>
      <c r="D209" s="2" t="str">
        <f>PROPER(TRIM(Raw_Data!D209))</f>
        <v>Sharon Butler</v>
      </c>
      <c r="E209" s="2" t="str">
        <f>UPPER(TRIM(Raw_Data!E209))</f>
        <v>P005</v>
      </c>
      <c r="F209" s="2" t="str">
        <f>PROPER(TRIM(Raw_Data!F209))</f>
        <v>Blender</v>
      </c>
      <c r="G209" s="2" t="str">
        <f>PROPER(TRIM(Raw_Data!G209))</f>
        <v>Appliances</v>
      </c>
      <c r="H209" s="2">
        <f>Raw_Data!H209</f>
        <v>5</v>
      </c>
      <c r="I209" s="4">
        <f>Raw_Data!I209</f>
        <v>59.99</v>
      </c>
      <c r="J209" s="2" t="str">
        <f>PROPER(TRIM(Raw_Data!J209))</f>
        <v>Debit Card</v>
      </c>
      <c r="K209" s="2" t="str">
        <f>PROPER(TRIM(Raw_Data!K209))</f>
        <v>Central</v>
      </c>
      <c r="L209" s="2" t="str">
        <f>PROPER(TRIM(Raw_Data!L209))</f>
        <v>Standard</v>
      </c>
      <c r="M209" s="3">
        <f>Raw_Data!M209</f>
        <v>45177</v>
      </c>
      <c r="N209" s="4">
        <f>Raw_Data!N209</f>
        <v>299.95</v>
      </c>
    </row>
    <row r="210" spans="1:14" ht="15" customHeight="1" x14ac:dyDescent="0.35">
      <c r="A210" s="2" t="str">
        <f>UPPER(TRIM(Raw_Data!A210))</f>
        <v>TRX0187</v>
      </c>
      <c r="B210" s="3">
        <f>Raw_Data!B210</f>
        <v>45701</v>
      </c>
      <c r="C210" s="2" t="str">
        <f>UPPER(TRIM(Raw_Data!C210))</f>
        <v>CUST036</v>
      </c>
      <c r="D210" s="2" t="str">
        <f>PROPER(TRIM(Raw_Data!D210))</f>
        <v>Nancy Collins</v>
      </c>
      <c r="E210" s="2" t="str">
        <f>UPPER(TRIM(Raw_Data!E210))</f>
        <v>P004</v>
      </c>
      <c r="F210" s="2" t="str">
        <f>PROPER(TRIM(Raw_Data!F210))</f>
        <v>Coffee Maker</v>
      </c>
      <c r="G210" s="2" t="str">
        <f>PROPER(TRIM(Raw_Data!G210))</f>
        <v>Appliances</v>
      </c>
      <c r="H210" s="2">
        <f>Raw_Data!H210</f>
        <v>3</v>
      </c>
      <c r="I210" s="4">
        <f>Raw_Data!I210</f>
        <v>79.989999999999995</v>
      </c>
      <c r="J210" s="2" t="str">
        <f>PROPER(TRIM(Raw_Data!J210))</f>
        <v>Cash</v>
      </c>
      <c r="K210" s="2" t="str">
        <f>PROPER(TRIM(Raw_Data!K210))</f>
        <v>East</v>
      </c>
      <c r="L210" s="2" t="str">
        <f>PROPER(TRIM(Raw_Data!L210))</f>
        <v>Premium</v>
      </c>
      <c r="M210" s="3">
        <f>Raw_Data!M210</f>
        <v>44436</v>
      </c>
      <c r="N210" s="4">
        <f>Raw_Data!N210</f>
        <v>239.97</v>
      </c>
    </row>
    <row r="211" spans="1:14" ht="15" customHeight="1" x14ac:dyDescent="0.35">
      <c r="A211" s="2" t="str">
        <f>UPPER(TRIM(Raw_Data!A211))</f>
        <v>TRX0089</v>
      </c>
      <c r="B211" s="3">
        <f>Raw_Data!B211</f>
        <v>45704</v>
      </c>
      <c r="C211" s="2" t="str">
        <f>UPPER(TRIM(Raw_Data!C211))</f>
        <v>CUST021</v>
      </c>
      <c r="D211" s="2" t="str">
        <f>PROPER(TRIM(Raw_Data!D211))</f>
        <v>Kevin Scott</v>
      </c>
      <c r="E211" s="2" t="str">
        <f>UPPER(TRIM(Raw_Data!E211))</f>
        <v>P006</v>
      </c>
      <c r="F211" s="2" t="str">
        <f>PROPER(TRIM(Raw_Data!F211))</f>
        <v>Office Chair</v>
      </c>
      <c r="G211" s="2" t="str">
        <f>PROPER(TRIM(Raw_Data!G211))</f>
        <v>Furniture</v>
      </c>
      <c r="H211" s="2">
        <f>Raw_Data!H211</f>
        <v>3</v>
      </c>
      <c r="I211" s="4">
        <f>Raw_Data!I211</f>
        <v>199.99</v>
      </c>
      <c r="J211" s="2" t="str">
        <f>PROPER(TRIM(Raw_Data!J211))</f>
        <v>Cash</v>
      </c>
      <c r="K211" s="2" t="str">
        <f>PROPER(TRIM(Raw_Data!K211))</f>
        <v>Central</v>
      </c>
      <c r="L211" s="2" t="str">
        <f>PROPER(TRIM(Raw_Data!L211))</f>
        <v>Basic</v>
      </c>
      <c r="M211" s="3">
        <f>Raw_Data!M211</f>
        <v>44735</v>
      </c>
      <c r="N211" s="4">
        <f>Raw_Data!N211</f>
        <v>599.97</v>
      </c>
    </row>
    <row r="212" spans="1:14" ht="15" customHeight="1" x14ac:dyDescent="0.35">
      <c r="A212" s="2" t="str">
        <f>UPPER(TRIM(Raw_Data!A212))</f>
        <v>TRX0196</v>
      </c>
      <c r="B212" s="3">
        <f>Raw_Data!B212</f>
        <v>45704</v>
      </c>
      <c r="C212" s="2" t="str">
        <f>UPPER(TRIM(Raw_Data!C212))</f>
        <v>CUST023</v>
      </c>
      <c r="D212" s="2" t="str">
        <f>PROPER(TRIM(Raw_Data!D212))</f>
        <v>Paul Baker</v>
      </c>
      <c r="E212" s="2" t="str">
        <f>UPPER(TRIM(Raw_Data!E212))</f>
        <v>P010</v>
      </c>
      <c r="F212" s="2" t="str">
        <f>PROPER(TRIM(Raw_Data!F212))</f>
        <v>Keyboard</v>
      </c>
      <c r="G212" s="2" t="str">
        <f>PROPER(TRIM(Raw_Data!G212))</f>
        <v>Electronics</v>
      </c>
      <c r="H212" s="2">
        <f>Raw_Data!H212</f>
        <v>2</v>
      </c>
      <c r="I212" s="4">
        <f>Raw_Data!I212</f>
        <v>89.99</v>
      </c>
      <c r="J212" s="2" t="str">
        <f>PROPER(TRIM(Raw_Data!J212))</f>
        <v>Paypal</v>
      </c>
      <c r="K212" s="2" t="str">
        <f>PROPER(TRIM(Raw_Data!K212))</f>
        <v>Central</v>
      </c>
      <c r="L212" s="2" t="str">
        <f>PROPER(TRIM(Raw_Data!L212))</f>
        <v>Basic</v>
      </c>
      <c r="M212" s="3">
        <f>Raw_Data!M212</f>
        <v>45257</v>
      </c>
      <c r="N212" s="4">
        <f>Raw_Data!N212</f>
        <v>179.98</v>
      </c>
    </row>
    <row r="213" spans="1:14" ht="15" customHeight="1" x14ac:dyDescent="0.35">
      <c r="A213" s="2" t="str">
        <f>UPPER(TRIM(Raw_Data!A213))</f>
        <v>TRX0118</v>
      </c>
      <c r="B213" s="3">
        <f>Raw_Data!B213</f>
        <v>45705</v>
      </c>
      <c r="C213" s="2" t="str">
        <f>UPPER(TRIM(Raw_Data!C213))</f>
        <v>CUST015</v>
      </c>
      <c r="D213" s="2" t="str">
        <f>PROPER(TRIM(Raw_Data!D213))</f>
        <v>Richard Lee</v>
      </c>
      <c r="E213" s="2" t="str">
        <f>UPPER(TRIM(Raw_Data!E213))</f>
        <v>P008</v>
      </c>
      <c r="F213" s="2" t="str">
        <f>PROPER(TRIM(Raw_Data!F213))</f>
        <v>Bookshelf</v>
      </c>
      <c r="G213" s="2" t="str">
        <f>PROPER(TRIM(Raw_Data!G213))</f>
        <v>Furniture</v>
      </c>
      <c r="H213" s="2">
        <f>Raw_Data!H213</f>
        <v>2</v>
      </c>
      <c r="I213" s="4">
        <f>Raw_Data!I213</f>
        <v>149.99</v>
      </c>
      <c r="J213" s="2" t="str">
        <f>PROPER(TRIM(Raw_Data!J213))</f>
        <v>Cash</v>
      </c>
      <c r="K213" s="2" t="str">
        <f>PROPER(TRIM(Raw_Data!K213))</f>
        <v>South</v>
      </c>
      <c r="L213" s="2" t="str">
        <f>PROPER(TRIM(Raw_Data!L213))</f>
        <v>Premium</v>
      </c>
      <c r="M213" s="3">
        <f>Raw_Data!M213</f>
        <v>44728</v>
      </c>
      <c r="N213" s="4">
        <f>Raw_Data!N213</f>
        <v>299.98</v>
      </c>
    </row>
    <row r="214" spans="1:14" ht="15" customHeight="1" x14ac:dyDescent="0.35">
      <c r="A214" s="2" t="str">
        <f>UPPER(TRIM(Raw_Data!A214))</f>
        <v>TRX0179</v>
      </c>
      <c r="B214" s="3">
        <f>Raw_Data!B214</f>
        <v>45707</v>
      </c>
      <c r="C214" s="2" t="str">
        <f>UPPER(TRIM(Raw_Data!C214))</f>
        <v>CUST029</v>
      </c>
      <c r="D214" s="2" t="str">
        <f>PROPER(TRIM(Raw_Data!D214))</f>
        <v>Edward Mitchell</v>
      </c>
      <c r="E214" s="2" t="str">
        <f>UPPER(TRIM(Raw_Data!E214))</f>
        <v>P002</v>
      </c>
      <c r="F214" s="2" t="str">
        <f>PROPER(TRIM(Raw_Data!F214))</f>
        <v>Smartphone</v>
      </c>
      <c r="G214" s="2" t="str">
        <f>PROPER(TRIM(Raw_Data!G214))</f>
        <v>Electronics</v>
      </c>
      <c r="H214" s="2">
        <f>Raw_Data!H214</f>
        <v>5</v>
      </c>
      <c r="I214" s="4">
        <f>Raw_Data!I214</f>
        <v>699.99</v>
      </c>
      <c r="J214" s="2" t="str">
        <f>PROPER(TRIM(Raw_Data!J214))</f>
        <v>Paypal</v>
      </c>
      <c r="K214" s="2" t="str">
        <f>PROPER(TRIM(Raw_Data!K214))</f>
        <v>South</v>
      </c>
      <c r="L214" s="2" t="str">
        <f>PROPER(TRIM(Raw_Data!L214))</f>
        <v>Premium</v>
      </c>
      <c r="M214" s="3">
        <f>Raw_Data!M214</f>
        <v>45352</v>
      </c>
      <c r="N214" s="4">
        <f>Raw_Data!N214</f>
        <v>3499.95</v>
      </c>
    </row>
    <row r="215" spans="1:14" ht="15" customHeight="1" x14ac:dyDescent="0.35">
      <c r="A215" s="2" t="str">
        <f>UPPER(TRIM(Raw_Data!A215))</f>
        <v>TRX0168</v>
      </c>
      <c r="B215" s="3">
        <f>Raw_Data!B215</f>
        <v>45707</v>
      </c>
      <c r="C215" s="2" t="str">
        <f>UPPER(TRIM(Raw_Data!C215))</f>
        <v>CUST003</v>
      </c>
      <c r="D215" s="2" t="str">
        <f>PROPER(TRIM(Raw_Data!D215))</f>
        <v>Michael Brown</v>
      </c>
      <c r="E215" s="2" t="str">
        <f>UPPER(TRIM(Raw_Data!E215))</f>
        <v>P008</v>
      </c>
      <c r="F215" s="2" t="str">
        <f>PROPER(TRIM(Raw_Data!F215))</f>
        <v>Bookshelf</v>
      </c>
      <c r="G215" s="2" t="str">
        <f>PROPER(TRIM(Raw_Data!G215))</f>
        <v>Furniture</v>
      </c>
      <c r="H215" s="2">
        <f>Raw_Data!H215</f>
        <v>3</v>
      </c>
      <c r="I215" s="4">
        <f>Raw_Data!I215</f>
        <v>149.99</v>
      </c>
      <c r="J215" s="2" t="str">
        <f>PROPER(TRIM(Raw_Data!J215))</f>
        <v>Paypal</v>
      </c>
      <c r="K215" s="2" t="str">
        <f>PROPER(TRIM(Raw_Data!K215))</f>
        <v>Central</v>
      </c>
      <c r="L215" s="2" t="str">
        <f>PROPER(TRIM(Raw_Data!L215))</f>
        <v>Standard</v>
      </c>
      <c r="M215" s="3">
        <f>Raw_Data!M215</f>
        <v>44633</v>
      </c>
      <c r="N215" s="4">
        <f>Raw_Data!N215</f>
        <v>449.97</v>
      </c>
    </row>
    <row r="216" spans="1:14" ht="15" customHeight="1" x14ac:dyDescent="0.35">
      <c r="A216" s="2" t="str">
        <f>UPPER(TRIM(Raw_Data!A216))</f>
        <v>TRX0214</v>
      </c>
      <c r="B216" s="3">
        <f>Raw_Data!B216</f>
        <v>45708</v>
      </c>
      <c r="C216" s="2" t="str">
        <f>UPPER(TRIM(Raw_Data!C216))</f>
        <v>CUST018</v>
      </c>
      <c r="D216" s="2" t="str">
        <f>PROPER(TRIM(Raw_Data!D216))</f>
        <v>Barbara Young</v>
      </c>
      <c r="E216" s="2" t="str">
        <f>UPPER(TRIM(Raw_Data!E216))</f>
        <v>P001</v>
      </c>
      <c r="F216" s="2" t="str">
        <f>PROPER(TRIM(Raw_Data!F216))</f>
        <v>Laptop</v>
      </c>
      <c r="G216" s="2" t="str">
        <f>PROPER(TRIM(Raw_Data!G216))</f>
        <v>Electronics</v>
      </c>
      <c r="H216" s="2">
        <f>Raw_Data!H216</f>
        <v>3</v>
      </c>
      <c r="I216" s="4">
        <f>Raw_Data!I216</f>
        <v>899.99</v>
      </c>
      <c r="J216" s="2" t="str">
        <f>PROPER(TRIM(Raw_Data!J216))</f>
        <v>Cash</v>
      </c>
      <c r="K216" s="2" t="str">
        <f>PROPER(TRIM(Raw_Data!K216))</f>
        <v>East</v>
      </c>
      <c r="L216" s="2" t="str">
        <f>PROPER(TRIM(Raw_Data!L216))</f>
        <v>Standard</v>
      </c>
      <c r="M216" s="3">
        <f>Raw_Data!M216</f>
        <v>44613</v>
      </c>
      <c r="N216" s="4">
        <f>Raw_Data!N216</f>
        <v>2699.97</v>
      </c>
    </row>
    <row r="217" spans="1:14" ht="15" customHeight="1" x14ac:dyDescent="0.35">
      <c r="A217" s="2" t="str">
        <f>UPPER(TRIM(Raw_Data!A217))</f>
        <v>TRX0221</v>
      </c>
      <c r="B217" s="3">
        <f>Raw_Data!B217</f>
        <v>45708</v>
      </c>
      <c r="C217" s="2" t="str">
        <f>UPPER(TRIM(Raw_Data!C217))</f>
        <v>CUST033</v>
      </c>
      <c r="D217" s="2" t="str">
        <f>PROPER(TRIM(Raw_Data!D217))</f>
        <v>Frank Torres</v>
      </c>
      <c r="E217" s="2" t="str">
        <f>UPPER(TRIM(Raw_Data!E217))</f>
        <v>P006</v>
      </c>
      <c r="F217" s="2" t="str">
        <f>PROPER(TRIM(Raw_Data!F217))</f>
        <v>Office Chair</v>
      </c>
      <c r="G217" s="2" t="str">
        <f>PROPER(TRIM(Raw_Data!G217))</f>
        <v>Furniture</v>
      </c>
      <c r="H217" s="2">
        <f>Raw_Data!H217</f>
        <v>3</v>
      </c>
      <c r="I217" s="4">
        <f>Raw_Data!I217</f>
        <v>199.99</v>
      </c>
      <c r="J217" s="2" t="str">
        <f>PROPER(TRIM(Raw_Data!J217))</f>
        <v>Cash</v>
      </c>
      <c r="K217" s="2" t="str">
        <f>PROPER(TRIM(Raw_Data!K217))</f>
        <v>West</v>
      </c>
      <c r="L217" s="2" t="str">
        <f>PROPER(TRIM(Raw_Data!L217))</f>
        <v>Premium</v>
      </c>
      <c r="M217" s="3">
        <f>Raw_Data!M217</f>
        <v>44823</v>
      </c>
      <c r="N217" s="4">
        <f>Raw_Data!N217</f>
        <v>599.97</v>
      </c>
    </row>
    <row r="218" spans="1:14" ht="15" customHeight="1" x14ac:dyDescent="0.35">
      <c r="A218" s="2" t="str">
        <f>UPPER(TRIM(Raw_Data!A218))</f>
        <v>TRX0083</v>
      </c>
      <c r="B218" s="3">
        <f>Raw_Data!B218</f>
        <v>45710</v>
      </c>
      <c r="C218" s="2" t="str">
        <f>UPPER(TRIM(Raw_Data!C218))</f>
        <v>CUST017</v>
      </c>
      <c r="D218" s="2" t="str">
        <f>PROPER(TRIM(Raw_Data!D218))</f>
        <v>Charles Allen</v>
      </c>
      <c r="E218" s="2" t="str">
        <f>UPPER(TRIM(Raw_Data!E218))</f>
        <v>P007</v>
      </c>
      <c r="F218" s="2" t="str">
        <f>PROPER(TRIM(Raw_Data!F218))</f>
        <v>Desk</v>
      </c>
      <c r="G218" s="2" t="str">
        <f>PROPER(TRIM(Raw_Data!G218))</f>
        <v>Furniture</v>
      </c>
      <c r="H218" s="2">
        <f>Raw_Data!H218</f>
        <v>5</v>
      </c>
      <c r="I218" s="4">
        <f>Raw_Data!I218</f>
        <v>299.99</v>
      </c>
      <c r="J218" s="2" t="str">
        <f>PROPER(TRIM(Raw_Data!J218))</f>
        <v>Cash</v>
      </c>
      <c r="K218" s="2" t="str">
        <f>PROPER(TRIM(Raw_Data!K218))</f>
        <v>West</v>
      </c>
      <c r="L218" s="2" t="str">
        <f>PROPER(TRIM(Raw_Data!L218))</f>
        <v>Standard</v>
      </c>
      <c r="M218" s="3">
        <f>Raw_Data!M218</f>
        <v>45142</v>
      </c>
      <c r="N218" s="4">
        <f>Raw_Data!N218</f>
        <v>1499.95</v>
      </c>
    </row>
    <row r="219" spans="1:14" ht="15" customHeight="1" x14ac:dyDescent="0.35">
      <c r="A219" s="2" t="str">
        <f>UPPER(TRIM(Raw_Data!A219))</f>
        <v>TRX0151</v>
      </c>
      <c r="B219" s="3">
        <f>Raw_Data!B219</f>
        <v>45710</v>
      </c>
      <c r="C219" s="2" t="str">
        <f>UPPER(TRIM(Raw_Data!C219))</f>
        <v>CUST040</v>
      </c>
      <c r="D219" s="2" t="str">
        <f>PROPER(TRIM(Raw_Data!D219))</f>
        <v>Sharon Butler</v>
      </c>
      <c r="E219" s="2" t="str">
        <f>UPPER(TRIM(Raw_Data!E219))</f>
        <v>P002</v>
      </c>
      <c r="F219" s="2" t="str">
        <f>PROPER(TRIM(Raw_Data!F219))</f>
        <v>Smartphone</v>
      </c>
      <c r="G219" s="2" t="str">
        <f>PROPER(TRIM(Raw_Data!G219))</f>
        <v>Electronics</v>
      </c>
      <c r="H219" s="2">
        <f>Raw_Data!H219</f>
        <v>1</v>
      </c>
      <c r="I219" s="4">
        <f>Raw_Data!I219</f>
        <v>699.99</v>
      </c>
      <c r="J219" s="2" t="str">
        <f>PROPER(TRIM(Raw_Data!J219))</f>
        <v>Paypal</v>
      </c>
      <c r="K219" s="2" t="str">
        <f>PROPER(TRIM(Raw_Data!K219))</f>
        <v>West</v>
      </c>
      <c r="L219" s="2" t="str">
        <f>PROPER(TRIM(Raw_Data!L219))</f>
        <v>Basic</v>
      </c>
      <c r="M219" s="3">
        <f>Raw_Data!M219</f>
        <v>44934</v>
      </c>
      <c r="N219" s="4">
        <f>Raw_Data!N219</f>
        <v>699.99</v>
      </c>
    </row>
    <row r="220" spans="1:14" ht="15" customHeight="1" x14ac:dyDescent="0.35">
      <c r="A220" s="2" t="str">
        <f>UPPER(TRIM(Raw_Data!A220))</f>
        <v>TRX0047</v>
      </c>
      <c r="B220" s="3">
        <f>Raw_Data!B220</f>
        <v>45711</v>
      </c>
      <c r="C220" s="2" t="str">
        <f>UPPER(TRIM(Raw_Data!C220))</f>
        <v>CUST042</v>
      </c>
      <c r="D220" s="2" t="str">
        <f>PROPER(TRIM(Raw_Data!D220))</f>
        <v>Ruth Brooks</v>
      </c>
      <c r="E220" s="2" t="str">
        <f>UPPER(TRIM(Raw_Data!E220))</f>
        <v>P002</v>
      </c>
      <c r="F220" s="2" t="str">
        <f>PROPER(TRIM(Raw_Data!F220))</f>
        <v>Smartphone</v>
      </c>
      <c r="G220" s="2" t="str">
        <f>PROPER(TRIM(Raw_Data!G220))</f>
        <v>Electronics</v>
      </c>
      <c r="H220" s="2">
        <f>Raw_Data!H220</f>
        <v>1</v>
      </c>
      <c r="I220" s="4">
        <f>Raw_Data!I220</f>
        <v>699.99</v>
      </c>
      <c r="J220" s="2" t="str">
        <f>PROPER(TRIM(Raw_Data!J220))</f>
        <v>Cash</v>
      </c>
      <c r="K220" s="2" t="str">
        <f>PROPER(TRIM(Raw_Data!K220))</f>
        <v>North</v>
      </c>
      <c r="L220" s="2" t="str">
        <f>PROPER(TRIM(Raw_Data!L220))</f>
        <v>Premium</v>
      </c>
      <c r="M220" s="3">
        <f>Raw_Data!M220</f>
        <v>44583</v>
      </c>
      <c r="N220" s="4">
        <f>Raw_Data!N220</f>
        <v>699.99</v>
      </c>
    </row>
    <row r="221" spans="1:14" ht="15" customHeight="1" x14ac:dyDescent="0.35">
      <c r="A221" s="2" t="str">
        <f>UPPER(TRIM(Raw_Data!A221))</f>
        <v>TRX0200</v>
      </c>
      <c r="B221" s="3">
        <f>Raw_Data!B221</f>
        <v>45711</v>
      </c>
      <c r="C221" s="2" t="str">
        <f>UPPER(TRIM(Raw_Data!C221))</f>
        <v>CUST037</v>
      </c>
      <c r="D221" s="2" t="str">
        <f>PROPER(TRIM(Raw_Data!D221))</f>
        <v>Arthur Edwards</v>
      </c>
      <c r="E221" s="2" t="str">
        <f>UPPER(TRIM(Raw_Data!E221))</f>
        <v>P008</v>
      </c>
      <c r="F221" s="2" t="str">
        <f>PROPER(TRIM(Raw_Data!F221))</f>
        <v>Bookshelf</v>
      </c>
      <c r="G221" s="2" t="str">
        <f>PROPER(TRIM(Raw_Data!G221))</f>
        <v>Furniture</v>
      </c>
      <c r="H221" s="2">
        <f>Raw_Data!H221</f>
        <v>4</v>
      </c>
      <c r="I221" s="4">
        <f>Raw_Data!I221</f>
        <v>149.99</v>
      </c>
      <c r="J221" s="2" t="str">
        <f>PROPER(TRIM(Raw_Data!J221))</f>
        <v>Paypal</v>
      </c>
      <c r="K221" s="2" t="str">
        <f>PROPER(TRIM(Raw_Data!K221))</f>
        <v>North</v>
      </c>
      <c r="L221" s="2" t="str">
        <f>PROPER(TRIM(Raw_Data!L221))</f>
        <v>Premium</v>
      </c>
      <c r="M221" s="3">
        <f>Raw_Data!M221</f>
        <v>44412</v>
      </c>
      <c r="N221" s="4">
        <f>Raw_Data!N221</f>
        <v>599.96</v>
      </c>
    </row>
    <row r="222" spans="1:14" ht="15" customHeight="1" x14ac:dyDescent="0.35">
      <c r="A222" s="2" t="str">
        <f>UPPER(TRIM(Raw_Data!A222))</f>
        <v>TRX0062</v>
      </c>
      <c r="B222" s="3">
        <f>Raw_Data!B222</f>
        <v>45711</v>
      </c>
      <c r="C222" s="2" t="str">
        <f>UPPER(TRIM(Raw_Data!C222))</f>
        <v>CUST016</v>
      </c>
      <c r="D222" s="2" t="str">
        <f>PROPER(TRIM(Raw_Data!D222))</f>
        <v>Elizabeth Hall</v>
      </c>
      <c r="E222" s="2" t="str">
        <f>UPPER(TRIM(Raw_Data!E222))</f>
        <v>P010</v>
      </c>
      <c r="F222" s="2" t="str">
        <f>PROPER(TRIM(Raw_Data!F222))</f>
        <v>Keyboard</v>
      </c>
      <c r="G222" s="2" t="str">
        <f>PROPER(TRIM(Raw_Data!G222))</f>
        <v>Electronics</v>
      </c>
      <c r="H222" s="2">
        <f>Raw_Data!H222</f>
        <v>5</v>
      </c>
      <c r="I222" s="4">
        <f>Raw_Data!I222</f>
        <v>89.99</v>
      </c>
      <c r="J222" s="2" t="str">
        <f>PROPER(TRIM(Raw_Data!J222))</f>
        <v>Paypal</v>
      </c>
      <c r="K222" s="2" t="str">
        <f>PROPER(TRIM(Raw_Data!K222))</f>
        <v>West</v>
      </c>
      <c r="L222" s="2" t="str">
        <f>PROPER(TRIM(Raw_Data!L222))</f>
        <v>Premium</v>
      </c>
      <c r="M222" s="3">
        <f>Raw_Data!M222</f>
        <v>45140</v>
      </c>
      <c r="N222" s="4">
        <f>Raw_Data!N222</f>
        <v>449.95</v>
      </c>
    </row>
    <row r="223" spans="1:14" ht="15" customHeight="1" x14ac:dyDescent="0.35">
      <c r="A223" s="2" t="str">
        <f>UPPER(TRIM(Raw_Data!A223))</f>
        <v>TRX0182</v>
      </c>
      <c r="B223" s="3">
        <f>Raw_Data!B223</f>
        <v>45712</v>
      </c>
      <c r="C223" s="2" t="str">
        <f>UPPER(TRIM(Raw_Data!C223))</f>
        <v>CUST031</v>
      </c>
      <c r="D223" s="2" t="str">
        <f>PROPER(TRIM(Raw_Data!D223))</f>
        <v>Steven Turner</v>
      </c>
      <c r="E223" s="2" t="str">
        <f>UPPER(TRIM(Raw_Data!E223))</f>
        <v>P006</v>
      </c>
      <c r="F223" s="2" t="str">
        <f>PROPER(TRIM(Raw_Data!F223))</f>
        <v>Office Chair</v>
      </c>
      <c r="G223" s="2" t="str">
        <f>PROPER(TRIM(Raw_Data!G223))</f>
        <v>Furniture</v>
      </c>
      <c r="H223" s="2">
        <f>Raw_Data!H223</f>
        <v>2</v>
      </c>
      <c r="I223" s="4">
        <f>Raw_Data!I223</f>
        <v>199.99</v>
      </c>
      <c r="J223" s="2" t="str">
        <f>PROPER(TRIM(Raw_Data!J223))</f>
        <v>Cash</v>
      </c>
      <c r="K223" s="2" t="str">
        <f>PROPER(TRIM(Raw_Data!K223))</f>
        <v>Central</v>
      </c>
      <c r="L223" s="2" t="str">
        <f>PROPER(TRIM(Raw_Data!L223))</f>
        <v>Premium</v>
      </c>
      <c r="M223" s="3">
        <f>Raw_Data!M223</f>
        <v>44573</v>
      </c>
      <c r="N223" s="4">
        <f>Raw_Data!N223</f>
        <v>399.98</v>
      </c>
    </row>
    <row r="224" spans="1:14" ht="15" customHeight="1" x14ac:dyDescent="0.35">
      <c r="A224" s="2" t="str">
        <f>UPPER(TRIM(Raw_Data!A224))</f>
        <v>TRX0229</v>
      </c>
      <c r="B224" s="3">
        <f>Raw_Data!B224</f>
        <v>45715</v>
      </c>
      <c r="C224" s="2" t="str">
        <f>UPPER(TRIM(Raw_Data!C224))</f>
        <v>CUST015</v>
      </c>
      <c r="D224" s="2" t="str">
        <f>PROPER(TRIM(Raw_Data!D224))</f>
        <v>Richard Lee</v>
      </c>
      <c r="E224" s="2" t="str">
        <f>UPPER(TRIM(Raw_Data!E224))</f>
        <v>P005</v>
      </c>
      <c r="F224" s="2" t="str">
        <f>PROPER(TRIM(Raw_Data!F224))</f>
        <v>Blender</v>
      </c>
      <c r="G224" s="2" t="str">
        <f>PROPER(TRIM(Raw_Data!G224))</f>
        <v>Appliances</v>
      </c>
      <c r="H224" s="2">
        <f>Raw_Data!H224</f>
        <v>4</v>
      </c>
      <c r="I224" s="4">
        <f>Raw_Data!I224</f>
        <v>59.99</v>
      </c>
      <c r="J224" s="2" t="str">
        <f>PROPER(TRIM(Raw_Data!J224))</f>
        <v>Cash</v>
      </c>
      <c r="K224" s="2" t="str">
        <f>PROPER(TRIM(Raw_Data!K224))</f>
        <v>West</v>
      </c>
      <c r="L224" s="2" t="str">
        <f>PROPER(TRIM(Raw_Data!L224))</f>
        <v>Standard</v>
      </c>
      <c r="M224" s="3">
        <f>Raw_Data!M224</f>
        <v>45070</v>
      </c>
      <c r="N224" s="4">
        <f>Raw_Data!N224</f>
        <v>239.96</v>
      </c>
    </row>
    <row r="225" spans="1:14" ht="15" customHeight="1" x14ac:dyDescent="0.35">
      <c r="A225" s="2" t="str">
        <f>UPPER(TRIM(Raw_Data!A225))</f>
        <v>TRX0048</v>
      </c>
      <c r="B225" s="3">
        <f>Raw_Data!B225</f>
        <v>45715</v>
      </c>
      <c r="C225" s="2" t="str">
        <f>UPPER(TRIM(Raw_Data!C225))</f>
        <v>CUST048</v>
      </c>
      <c r="D225" s="2" t="str">
        <f>PROPER(TRIM(Raw_Data!D225))</f>
        <v>Virginia Sanders</v>
      </c>
      <c r="E225" s="2" t="str">
        <f>UPPER(TRIM(Raw_Data!E225))</f>
        <v>P007</v>
      </c>
      <c r="F225" s="2" t="str">
        <f>PROPER(TRIM(Raw_Data!F225))</f>
        <v>Desk</v>
      </c>
      <c r="G225" s="2" t="str">
        <f>PROPER(TRIM(Raw_Data!G225))</f>
        <v>Furniture</v>
      </c>
      <c r="H225" s="2">
        <f>Raw_Data!H225</f>
        <v>2</v>
      </c>
      <c r="I225" s="4">
        <f>Raw_Data!I225</f>
        <v>299.99</v>
      </c>
      <c r="J225" s="2" t="str">
        <f>PROPER(TRIM(Raw_Data!J225))</f>
        <v>Paypal</v>
      </c>
      <c r="K225" s="2" t="str">
        <f>PROPER(TRIM(Raw_Data!K225))</f>
        <v>South</v>
      </c>
      <c r="L225" s="2" t="str">
        <f>PROPER(TRIM(Raw_Data!L225))</f>
        <v>Basic</v>
      </c>
      <c r="M225" s="3">
        <f>Raw_Data!M225</f>
        <v>44576</v>
      </c>
      <c r="N225" s="4">
        <f>Raw_Data!N225</f>
        <v>599.98</v>
      </c>
    </row>
    <row r="226" spans="1:14" ht="15" customHeight="1" x14ac:dyDescent="0.35">
      <c r="A226" s="2" t="str">
        <f>UPPER(TRIM(Raw_Data!A226))</f>
        <v>TRX0227</v>
      </c>
      <c r="B226" s="3">
        <f>Raw_Data!B226</f>
        <v>45718</v>
      </c>
      <c r="C226" s="2" t="str">
        <f>UPPER(TRIM(Raw_Data!C226))</f>
        <v>CUST017</v>
      </c>
      <c r="D226" s="2" t="str">
        <f>PROPER(TRIM(Raw_Data!D226))</f>
        <v>Charles Allen</v>
      </c>
      <c r="E226" s="2" t="str">
        <f>UPPER(TRIM(Raw_Data!E226))</f>
        <v>P008</v>
      </c>
      <c r="F226" s="2" t="str">
        <f>PROPER(TRIM(Raw_Data!F226))</f>
        <v>Bookshelf</v>
      </c>
      <c r="G226" s="2" t="str">
        <f>PROPER(TRIM(Raw_Data!G226))</f>
        <v>Furniture</v>
      </c>
      <c r="H226" s="2">
        <f>Raw_Data!H226</f>
        <v>2</v>
      </c>
      <c r="I226" s="4">
        <f>Raw_Data!I226</f>
        <v>149.99</v>
      </c>
      <c r="J226" s="2" t="str">
        <f>PROPER(TRIM(Raw_Data!J226))</f>
        <v>Cash</v>
      </c>
      <c r="K226" s="2" t="str">
        <f>PROPER(TRIM(Raw_Data!K226))</f>
        <v>Central</v>
      </c>
      <c r="L226" s="2" t="str">
        <f>PROPER(TRIM(Raw_Data!L226))</f>
        <v>Basic</v>
      </c>
      <c r="M226" s="3">
        <f>Raw_Data!M226</f>
        <v>45068</v>
      </c>
      <c r="N226" s="4">
        <f>Raw_Data!N226</f>
        <v>299.98</v>
      </c>
    </row>
    <row r="227" spans="1:14" ht="15" customHeight="1" x14ac:dyDescent="0.35">
      <c r="A227" s="2" t="str">
        <f>UPPER(TRIM(Raw_Data!A227))</f>
        <v>TRX0226</v>
      </c>
      <c r="B227" s="3">
        <f>Raw_Data!B227</f>
        <v>45720</v>
      </c>
      <c r="C227" s="2" t="str">
        <f>UPPER(TRIM(Raw_Data!C227))</f>
        <v>CUST039</v>
      </c>
      <c r="D227" s="2" t="str">
        <f>PROPER(TRIM(Raw_Data!D227))</f>
        <v>Lawrence Reed</v>
      </c>
      <c r="E227" s="2" t="str">
        <f>UPPER(TRIM(Raw_Data!E227))</f>
        <v>P002</v>
      </c>
      <c r="F227" s="2" t="str">
        <f>PROPER(TRIM(Raw_Data!F227))</f>
        <v>Smartphone</v>
      </c>
      <c r="G227" s="2" t="str">
        <f>PROPER(TRIM(Raw_Data!G227))</f>
        <v>Electronics</v>
      </c>
      <c r="H227" s="2">
        <f>Raw_Data!H227</f>
        <v>5</v>
      </c>
      <c r="I227" s="4">
        <f>Raw_Data!I227</f>
        <v>699.99</v>
      </c>
      <c r="J227" s="2" t="str">
        <f>PROPER(TRIM(Raw_Data!J227))</f>
        <v>Debit Card</v>
      </c>
      <c r="K227" s="2" t="str">
        <f>PROPER(TRIM(Raw_Data!K227))</f>
        <v>East</v>
      </c>
      <c r="L227" s="2" t="str">
        <f>PROPER(TRIM(Raw_Data!L227))</f>
        <v>Premium</v>
      </c>
      <c r="M227" s="3">
        <f>Raw_Data!M227</f>
        <v>45161</v>
      </c>
      <c r="N227" s="4">
        <f>Raw_Data!N227</f>
        <v>3499.95</v>
      </c>
    </row>
    <row r="228" spans="1:14" ht="15" customHeight="1" x14ac:dyDescent="0.35">
      <c r="A228" s="2" t="str">
        <f>UPPER(TRIM(Raw_Data!A228))</f>
        <v>TRX0053</v>
      </c>
      <c r="B228" s="3">
        <f>Raw_Data!B228</f>
        <v>45721</v>
      </c>
      <c r="C228" s="2" t="str">
        <f>UPPER(TRIM(Raw_Data!C228))</f>
        <v>CUST043</v>
      </c>
      <c r="D228" s="2" t="str">
        <f>PROPER(TRIM(Raw_Data!D228))</f>
        <v>Dennis Gray</v>
      </c>
      <c r="E228" s="2" t="str">
        <f>UPPER(TRIM(Raw_Data!E228))</f>
        <v>P005</v>
      </c>
      <c r="F228" s="2" t="str">
        <f>PROPER(TRIM(Raw_Data!F228))</f>
        <v>Blender</v>
      </c>
      <c r="G228" s="2" t="str">
        <f>PROPER(TRIM(Raw_Data!G228))</f>
        <v>Appliances</v>
      </c>
      <c r="H228" s="2">
        <f>Raw_Data!H228</f>
        <v>5</v>
      </c>
      <c r="I228" s="4">
        <f>Raw_Data!I228</f>
        <v>59.99</v>
      </c>
      <c r="J228" s="2" t="str">
        <f>PROPER(TRIM(Raw_Data!J228))</f>
        <v>Cash</v>
      </c>
      <c r="K228" s="2" t="str">
        <f>PROPER(TRIM(Raw_Data!K228))</f>
        <v>West</v>
      </c>
      <c r="L228" s="2" t="str">
        <f>PROPER(TRIM(Raw_Data!L228))</f>
        <v>Premium</v>
      </c>
      <c r="M228" s="3">
        <f>Raw_Data!M228</f>
        <v>45291</v>
      </c>
      <c r="N228" s="4">
        <f>Raw_Data!N228</f>
        <v>299.95</v>
      </c>
    </row>
    <row r="229" spans="1:14" ht="15" customHeight="1" x14ac:dyDescent="0.35">
      <c r="A229" s="2" t="str">
        <f>UPPER(TRIM(Raw_Data!A229))</f>
        <v>TRX0233</v>
      </c>
      <c r="B229" s="3">
        <f>Raw_Data!B229</f>
        <v>45723</v>
      </c>
      <c r="C229" s="2" t="str">
        <f>UPPER(TRIM(Raw_Data!C229))</f>
        <v>CUST023</v>
      </c>
      <c r="D229" s="2" t="str">
        <f>PROPER(TRIM(Raw_Data!D229))</f>
        <v>Paul Baker</v>
      </c>
      <c r="E229" s="2" t="str">
        <f>UPPER(TRIM(Raw_Data!E229))</f>
        <v>P010</v>
      </c>
      <c r="F229" s="2" t="str">
        <f>PROPER(TRIM(Raw_Data!F229))</f>
        <v>Keyboard</v>
      </c>
      <c r="G229" s="2" t="str">
        <f>PROPER(TRIM(Raw_Data!G229))</f>
        <v>Electronics</v>
      </c>
      <c r="H229" s="2">
        <f>Raw_Data!H229</f>
        <v>2</v>
      </c>
      <c r="I229" s="4">
        <f>Raw_Data!I229</f>
        <v>89.99</v>
      </c>
      <c r="J229" s="2" t="str">
        <f>PROPER(TRIM(Raw_Data!J229))</f>
        <v>Credit Card</v>
      </c>
      <c r="K229" s="2" t="str">
        <f>PROPER(TRIM(Raw_Data!K229))</f>
        <v>West</v>
      </c>
      <c r="L229" s="2" t="str">
        <f>PROPER(TRIM(Raw_Data!L229))</f>
        <v>Premium</v>
      </c>
      <c r="M229" s="3">
        <f>Raw_Data!M229</f>
        <v>45295</v>
      </c>
      <c r="N229" s="4">
        <f>Raw_Data!N229</f>
        <v>179.98</v>
      </c>
    </row>
    <row r="230" spans="1:14" ht="15" customHeight="1" x14ac:dyDescent="0.35">
      <c r="A230" s="2" t="str">
        <f>UPPER(TRIM(Raw_Data!A230))</f>
        <v>TRX0175</v>
      </c>
      <c r="B230" s="3">
        <f>Raw_Data!B230</f>
        <v>45723</v>
      </c>
      <c r="C230" s="2" t="str">
        <f>UPPER(TRIM(Raw_Data!C230))</f>
        <v>CUST030</v>
      </c>
      <c r="D230" s="2" t="str">
        <f>PROPER(TRIM(Raw_Data!D230))</f>
        <v>Helen Roberts</v>
      </c>
      <c r="E230" s="2" t="str">
        <f>UPPER(TRIM(Raw_Data!E230))</f>
        <v>P009</v>
      </c>
      <c r="F230" s="2" t="str">
        <f>PROPER(TRIM(Raw_Data!F230))</f>
        <v>Monitor</v>
      </c>
      <c r="G230" s="2" t="str">
        <f>PROPER(TRIM(Raw_Data!G230))</f>
        <v>Electronics</v>
      </c>
      <c r="H230" s="2">
        <f>Raw_Data!H230</f>
        <v>5</v>
      </c>
      <c r="I230" s="4">
        <f>Raw_Data!I230</f>
        <v>249.99</v>
      </c>
      <c r="J230" s="2" t="str">
        <f>PROPER(TRIM(Raw_Data!J230))</f>
        <v>Cash</v>
      </c>
      <c r="K230" s="2" t="str">
        <f>PROPER(TRIM(Raw_Data!K230))</f>
        <v>East</v>
      </c>
      <c r="L230" s="2" t="str">
        <f>PROPER(TRIM(Raw_Data!L230))</f>
        <v>Standard</v>
      </c>
      <c r="M230" s="3">
        <f>Raw_Data!M230</f>
        <v>44540</v>
      </c>
      <c r="N230" s="4">
        <f>Raw_Data!N230</f>
        <v>1249.95</v>
      </c>
    </row>
    <row r="231" spans="1:14" ht="15" customHeight="1" x14ac:dyDescent="0.35">
      <c r="A231" s="2" t="str">
        <f>UPPER(TRIM(Raw_Data!A231))</f>
        <v>TRX0186</v>
      </c>
      <c r="B231" s="3">
        <f>Raw_Data!B231</f>
        <v>45724</v>
      </c>
      <c r="C231" s="2" t="str">
        <f>UPPER(TRIM(Raw_Data!C231))</f>
        <v>CUST039</v>
      </c>
      <c r="D231" s="2" t="str">
        <f>PROPER(TRIM(Raw_Data!D231))</f>
        <v>Lawrence Reed</v>
      </c>
      <c r="E231" s="2" t="str">
        <f>UPPER(TRIM(Raw_Data!E231))</f>
        <v>P008</v>
      </c>
      <c r="F231" s="2" t="str">
        <f>PROPER(TRIM(Raw_Data!F231))</f>
        <v>Bookshelf</v>
      </c>
      <c r="G231" s="2" t="str">
        <f>PROPER(TRIM(Raw_Data!G231))</f>
        <v>Furniture</v>
      </c>
      <c r="H231" s="2">
        <f>Raw_Data!H231</f>
        <v>2</v>
      </c>
      <c r="I231" s="4">
        <f>Raw_Data!I231</f>
        <v>149.99</v>
      </c>
      <c r="J231" s="2" t="str">
        <f>PROPER(TRIM(Raw_Data!J231))</f>
        <v>Paypal</v>
      </c>
      <c r="K231" s="2" t="str">
        <f>PROPER(TRIM(Raw_Data!K231))</f>
        <v>Central</v>
      </c>
      <c r="L231" s="2" t="str">
        <f>PROPER(TRIM(Raw_Data!L231))</f>
        <v>Premium</v>
      </c>
      <c r="M231" s="3">
        <f>Raw_Data!M231</f>
        <v>44632</v>
      </c>
      <c r="N231" s="4">
        <f>Raw_Data!N231</f>
        <v>299.98</v>
      </c>
    </row>
    <row r="232" spans="1:14" ht="15" customHeight="1" x14ac:dyDescent="0.35">
      <c r="A232" s="2" t="str">
        <f>UPPER(TRIM(Raw_Data!A232))</f>
        <v>TRX0016</v>
      </c>
      <c r="B232" s="3">
        <f>Raw_Data!B232</f>
        <v>45724</v>
      </c>
      <c r="C232" s="2" t="str">
        <f>UPPER(TRIM(Raw_Data!C232))</f>
        <v>CUST035</v>
      </c>
      <c r="D232" s="2" t="str">
        <f>PROPER(TRIM(Raw_Data!D232))</f>
        <v>Harry Morgan</v>
      </c>
      <c r="E232" s="2" t="str">
        <f>UPPER(TRIM(Raw_Data!E232))</f>
        <v>P001</v>
      </c>
      <c r="F232" s="2" t="str">
        <f>PROPER(TRIM(Raw_Data!F232))</f>
        <v>Laptop</v>
      </c>
      <c r="G232" s="2" t="str">
        <f>PROPER(TRIM(Raw_Data!G232))</f>
        <v>Electronics</v>
      </c>
      <c r="H232" s="2">
        <f>Raw_Data!H232</f>
        <v>5</v>
      </c>
      <c r="I232" s="4">
        <f>Raw_Data!I232</f>
        <v>899.99</v>
      </c>
      <c r="J232" s="2" t="str">
        <f>PROPER(TRIM(Raw_Data!J232))</f>
        <v>Paypal</v>
      </c>
      <c r="K232" s="2" t="str">
        <f>PROPER(TRIM(Raw_Data!K232))</f>
        <v>East</v>
      </c>
      <c r="L232" s="2" t="str">
        <f>PROPER(TRIM(Raw_Data!L232))</f>
        <v>Premium</v>
      </c>
      <c r="M232" s="3">
        <f>Raw_Data!M232</f>
        <v>45389</v>
      </c>
      <c r="N232" s="4">
        <f>Raw_Data!N232</f>
        <v>4499.95</v>
      </c>
    </row>
    <row r="233" spans="1:14" ht="15" customHeight="1" x14ac:dyDescent="0.35">
      <c r="A233" s="2" t="str">
        <f>UPPER(TRIM(Raw_Data!A233))</f>
        <v>TRX0199</v>
      </c>
      <c r="B233" s="3">
        <f>Raw_Data!B233</f>
        <v>45724</v>
      </c>
      <c r="C233" s="2" t="str">
        <f>UPPER(TRIM(Raw_Data!C233))</f>
        <v>CUST017</v>
      </c>
      <c r="D233" s="2" t="str">
        <f>PROPER(TRIM(Raw_Data!D233))</f>
        <v>Charles Allen</v>
      </c>
      <c r="E233" s="2" t="str">
        <f>UPPER(TRIM(Raw_Data!E233))</f>
        <v>P008</v>
      </c>
      <c r="F233" s="2" t="str">
        <f>PROPER(TRIM(Raw_Data!F233))</f>
        <v>Bookshelf</v>
      </c>
      <c r="G233" s="2" t="str">
        <f>PROPER(TRIM(Raw_Data!G233))</f>
        <v>Furniture</v>
      </c>
      <c r="H233" s="2">
        <f>Raw_Data!H233</f>
        <v>4</v>
      </c>
      <c r="I233" s="4">
        <f>Raw_Data!I233</f>
        <v>149.99</v>
      </c>
      <c r="J233" s="2" t="str">
        <f>PROPER(TRIM(Raw_Data!J233))</f>
        <v>Cash</v>
      </c>
      <c r="K233" s="2" t="str">
        <f>PROPER(TRIM(Raw_Data!K233))</f>
        <v>Central</v>
      </c>
      <c r="L233" s="2" t="str">
        <f>PROPER(TRIM(Raw_Data!L233))</f>
        <v>Standard</v>
      </c>
      <c r="M233" s="3">
        <f>Raw_Data!M233</f>
        <v>45263</v>
      </c>
      <c r="N233" s="4">
        <f>Raw_Data!N233</f>
        <v>599.96</v>
      </c>
    </row>
    <row r="234" spans="1:14" ht="15" customHeight="1" x14ac:dyDescent="0.35">
      <c r="A234" s="2" t="str">
        <f>UPPER(TRIM(Raw_Data!A234))</f>
        <v>TRX0038</v>
      </c>
      <c r="B234" s="3">
        <f>Raw_Data!B234</f>
        <v>45726</v>
      </c>
      <c r="C234" s="2" t="str">
        <f>UPPER(TRIM(Raw_Data!C234))</f>
        <v>CUST035</v>
      </c>
      <c r="D234" s="2" t="str">
        <f>PROPER(TRIM(Raw_Data!D234))</f>
        <v>Harry Morgan</v>
      </c>
      <c r="E234" s="2" t="str">
        <f>UPPER(TRIM(Raw_Data!E234))</f>
        <v>P009</v>
      </c>
      <c r="F234" s="2" t="str">
        <f>PROPER(TRIM(Raw_Data!F234))</f>
        <v>Monitor</v>
      </c>
      <c r="G234" s="2" t="str">
        <f>PROPER(TRIM(Raw_Data!G234))</f>
        <v>Electronics</v>
      </c>
      <c r="H234" s="2">
        <f>Raw_Data!H234</f>
        <v>1</v>
      </c>
      <c r="I234" s="4">
        <f>Raw_Data!I234</f>
        <v>249.99</v>
      </c>
      <c r="J234" s="2" t="str">
        <f>PROPER(TRIM(Raw_Data!J234))</f>
        <v>Cash</v>
      </c>
      <c r="K234" s="2" t="str">
        <f>PROPER(TRIM(Raw_Data!K234))</f>
        <v>North</v>
      </c>
      <c r="L234" s="2" t="str">
        <f>PROPER(TRIM(Raw_Data!L234))</f>
        <v>Standard</v>
      </c>
      <c r="M234" s="3">
        <f>Raw_Data!M234</f>
        <v>45117</v>
      </c>
      <c r="N234" s="4">
        <f>Raw_Data!N234</f>
        <v>249.99</v>
      </c>
    </row>
    <row r="235" spans="1:14" ht="15" customHeight="1" x14ac:dyDescent="0.35">
      <c r="A235" s="2" t="str">
        <f>UPPER(TRIM(Raw_Data!A235))</f>
        <v>TRX0014</v>
      </c>
      <c r="B235" s="3">
        <f>Raw_Data!B235</f>
        <v>45734</v>
      </c>
      <c r="C235" s="2" t="str">
        <f>UPPER(TRIM(Raw_Data!C235))</f>
        <v>CUST033</v>
      </c>
      <c r="D235" s="2" t="str">
        <f>PROPER(TRIM(Raw_Data!D235))</f>
        <v>Frank Torres</v>
      </c>
      <c r="E235" s="2" t="str">
        <f>UPPER(TRIM(Raw_Data!E235))</f>
        <v>P005</v>
      </c>
      <c r="F235" s="2" t="str">
        <f>PROPER(TRIM(Raw_Data!F235))</f>
        <v>Blender</v>
      </c>
      <c r="G235" s="2" t="str">
        <f>PROPER(TRIM(Raw_Data!G235))</f>
        <v>Appliances</v>
      </c>
      <c r="H235" s="2">
        <f>Raw_Data!H235</f>
        <v>2</v>
      </c>
      <c r="I235" s="4">
        <f>Raw_Data!I235</f>
        <v>59.99</v>
      </c>
      <c r="J235" s="2" t="str">
        <f>PROPER(TRIM(Raw_Data!J235))</f>
        <v>Credit Card</v>
      </c>
      <c r="K235" s="2" t="str">
        <f>PROPER(TRIM(Raw_Data!K235))</f>
        <v>West</v>
      </c>
      <c r="L235" s="2" t="str">
        <f>PROPER(TRIM(Raw_Data!L235))</f>
        <v>Basic</v>
      </c>
      <c r="M235" s="3">
        <f>Raw_Data!M235</f>
        <v>45193</v>
      </c>
      <c r="N235" s="4">
        <f>Raw_Data!N235</f>
        <v>119.98</v>
      </c>
    </row>
    <row r="236" spans="1:14" ht="15" customHeight="1" x14ac:dyDescent="0.35">
      <c r="A236" s="2" t="str">
        <f>UPPER(TRIM(Raw_Data!A236))</f>
        <v>TRX0003</v>
      </c>
      <c r="B236" s="3">
        <f>Raw_Data!B236</f>
        <v>45737</v>
      </c>
      <c r="C236" s="2" t="str">
        <f>UPPER(TRIM(Raw_Data!C236))</f>
        <v>CUST002</v>
      </c>
      <c r="D236" s="2" t="str">
        <f>PROPER(TRIM(Raw_Data!D236))</f>
        <v>Emma Wilson</v>
      </c>
      <c r="E236" s="2" t="str">
        <f>UPPER(TRIM(Raw_Data!E236))</f>
        <v>P008</v>
      </c>
      <c r="F236" s="2" t="str">
        <f>PROPER(TRIM(Raw_Data!F236))</f>
        <v>Bookshelf</v>
      </c>
      <c r="G236" s="2" t="str">
        <f>PROPER(TRIM(Raw_Data!G236))</f>
        <v>Furniture</v>
      </c>
      <c r="H236" s="2">
        <f>Raw_Data!H236</f>
        <v>2</v>
      </c>
      <c r="I236" s="4">
        <f>Raw_Data!I236</f>
        <v>149.99</v>
      </c>
      <c r="J236" s="2" t="str">
        <f>PROPER(TRIM(Raw_Data!J236))</f>
        <v>Cash</v>
      </c>
      <c r="K236" s="2" t="str">
        <f>PROPER(TRIM(Raw_Data!K236))</f>
        <v>West</v>
      </c>
      <c r="L236" s="2" t="str">
        <f>PROPER(TRIM(Raw_Data!L236))</f>
        <v>Premium</v>
      </c>
      <c r="M236" s="3">
        <f>Raw_Data!M236</f>
        <v>45233</v>
      </c>
      <c r="N236" s="4">
        <f>Raw_Data!N236</f>
        <v>299.98</v>
      </c>
    </row>
    <row r="237" spans="1:14" ht="15" customHeight="1" x14ac:dyDescent="0.35">
      <c r="A237" s="2" t="str">
        <f>UPPER(TRIM(Raw_Data!A237))</f>
        <v>TRX0124</v>
      </c>
      <c r="B237" s="3">
        <f>Raw_Data!B237</f>
        <v>45737</v>
      </c>
      <c r="C237" s="2" t="str">
        <f>UPPER(TRIM(Raw_Data!C237))</f>
        <v>CUST040</v>
      </c>
      <c r="D237" s="2" t="str">
        <f>PROPER(TRIM(Raw_Data!D237))</f>
        <v>Sharon Butler</v>
      </c>
      <c r="E237" s="2" t="str">
        <f>UPPER(TRIM(Raw_Data!E237))</f>
        <v>P001</v>
      </c>
      <c r="F237" s="2" t="str">
        <f>PROPER(TRIM(Raw_Data!F237))</f>
        <v>Laptop</v>
      </c>
      <c r="G237" s="2" t="str">
        <f>PROPER(TRIM(Raw_Data!G237))</f>
        <v>Electronics</v>
      </c>
      <c r="H237" s="2">
        <f>Raw_Data!H237</f>
        <v>3</v>
      </c>
      <c r="I237" s="4">
        <f>Raw_Data!I237</f>
        <v>899.99</v>
      </c>
      <c r="J237" s="2" t="str">
        <f>PROPER(TRIM(Raw_Data!J237))</f>
        <v>Debit Card</v>
      </c>
      <c r="K237" s="2" t="str">
        <f>PROPER(TRIM(Raw_Data!K237))</f>
        <v>North</v>
      </c>
      <c r="L237" s="2" t="str">
        <f>PROPER(TRIM(Raw_Data!L237))</f>
        <v>Premium</v>
      </c>
      <c r="M237" s="3">
        <f>Raw_Data!M237</f>
        <v>44876</v>
      </c>
      <c r="N237" s="4">
        <f>Raw_Data!N237</f>
        <v>2699.97</v>
      </c>
    </row>
    <row r="238" spans="1:14" ht="15" customHeight="1" x14ac:dyDescent="0.35">
      <c r="A238" s="2" t="str">
        <f>UPPER(TRIM(Raw_Data!A238))</f>
        <v>TRX0013</v>
      </c>
      <c r="B238" s="3">
        <f>Raw_Data!B238</f>
        <v>45737</v>
      </c>
      <c r="C238" s="2" t="str">
        <f>UPPER(TRIM(Raw_Data!C238))</f>
        <v>CUST024</v>
      </c>
      <c r="D238" s="2" t="str">
        <f>PROPER(TRIM(Raw_Data!D238))</f>
        <v>Dorothy Nelson</v>
      </c>
      <c r="E238" s="2" t="str">
        <f>UPPER(TRIM(Raw_Data!E238))</f>
        <v>P001</v>
      </c>
      <c r="F238" s="2" t="str">
        <f>PROPER(TRIM(Raw_Data!F238))</f>
        <v>Laptop</v>
      </c>
      <c r="G238" s="2" t="str">
        <f>PROPER(TRIM(Raw_Data!G238))</f>
        <v>Electronics</v>
      </c>
      <c r="H238" s="2">
        <f>Raw_Data!H238</f>
        <v>3</v>
      </c>
      <c r="I238" s="4">
        <f>Raw_Data!I238</f>
        <v>899.99</v>
      </c>
      <c r="J238" s="2" t="str">
        <f>PROPER(TRIM(Raw_Data!J238))</f>
        <v>Paypal</v>
      </c>
      <c r="K238" s="2" t="str">
        <f>PROPER(TRIM(Raw_Data!K238))</f>
        <v>North</v>
      </c>
      <c r="L238" s="2" t="str">
        <f>PROPER(TRIM(Raw_Data!L238))</f>
        <v>Basic</v>
      </c>
      <c r="M238" s="3">
        <f>Raw_Data!M238</f>
        <v>44975</v>
      </c>
      <c r="N238" s="4">
        <f>Raw_Data!N238</f>
        <v>2699.97</v>
      </c>
    </row>
    <row r="239" spans="1:14" ht="15" customHeight="1" x14ac:dyDescent="0.35">
      <c r="A239" s="2" t="str">
        <f>UPPER(TRIM(Raw_Data!A239))</f>
        <v>TRX0019</v>
      </c>
      <c r="B239" s="3">
        <f>Raw_Data!B239</f>
        <v>45739</v>
      </c>
      <c r="C239" s="2" t="str">
        <f>UPPER(TRIM(Raw_Data!C239))</f>
        <v>CUST023</v>
      </c>
      <c r="D239" s="2" t="str">
        <f>PROPER(TRIM(Raw_Data!D239))</f>
        <v>Paul Baker</v>
      </c>
      <c r="E239" s="2" t="str">
        <f>UPPER(TRIM(Raw_Data!E239))</f>
        <v>P007</v>
      </c>
      <c r="F239" s="2" t="str">
        <f>PROPER(TRIM(Raw_Data!F239))</f>
        <v>Desk</v>
      </c>
      <c r="G239" s="2" t="str">
        <f>PROPER(TRIM(Raw_Data!G239))</f>
        <v>Furniture</v>
      </c>
      <c r="H239" s="2">
        <f>Raw_Data!H239</f>
        <v>3</v>
      </c>
      <c r="I239" s="4">
        <f>Raw_Data!I239</f>
        <v>299.99</v>
      </c>
      <c r="J239" s="2" t="str">
        <f>PROPER(TRIM(Raw_Data!J239))</f>
        <v>Credit Card</v>
      </c>
      <c r="K239" s="2" t="str">
        <f>PROPER(TRIM(Raw_Data!K239))</f>
        <v>West</v>
      </c>
      <c r="L239" s="2" t="str">
        <f>PROPER(TRIM(Raw_Data!L239))</f>
        <v>Premium</v>
      </c>
      <c r="M239" s="3">
        <f>Raw_Data!M239</f>
        <v>45234</v>
      </c>
      <c r="N239" s="4">
        <f>Raw_Data!N239</f>
        <v>899.97</v>
      </c>
    </row>
    <row r="240" spans="1:14" ht="15" customHeight="1" x14ac:dyDescent="0.35">
      <c r="A240" s="2" t="str">
        <f>UPPER(TRIM(Raw_Data!A240))</f>
        <v>TRX0050</v>
      </c>
      <c r="B240" s="3">
        <f>Raw_Data!B240</f>
        <v>45740</v>
      </c>
      <c r="C240" s="2" t="str">
        <f>UPPER(TRIM(Raw_Data!C240))</f>
        <v>CUST001</v>
      </c>
      <c r="D240" s="2" t="str">
        <f>PROPER(TRIM(Raw_Data!D240))</f>
        <v>John Smith</v>
      </c>
      <c r="E240" s="2" t="str">
        <f>UPPER(TRIM(Raw_Data!E240))</f>
        <v>P008</v>
      </c>
      <c r="F240" s="2" t="str">
        <f>PROPER(TRIM(Raw_Data!F240))</f>
        <v>Bookshelf</v>
      </c>
      <c r="G240" s="2" t="str">
        <f>PROPER(TRIM(Raw_Data!G240))</f>
        <v>Furniture</v>
      </c>
      <c r="H240" s="2">
        <f>Raw_Data!H240</f>
        <v>4</v>
      </c>
      <c r="I240" s="4">
        <f>Raw_Data!I240</f>
        <v>149.99</v>
      </c>
      <c r="J240" s="2" t="str">
        <f>PROPER(TRIM(Raw_Data!J240))</f>
        <v>Paypal</v>
      </c>
      <c r="K240" s="2" t="str">
        <f>PROPER(TRIM(Raw_Data!K240))</f>
        <v>West</v>
      </c>
      <c r="L240" s="2" t="str">
        <f>PROPER(TRIM(Raw_Data!L240))</f>
        <v>Standard</v>
      </c>
      <c r="M240" s="3">
        <f>Raw_Data!M240</f>
        <v>44560</v>
      </c>
      <c r="N240" s="4">
        <f>Raw_Data!N240</f>
        <v>599.96</v>
      </c>
    </row>
    <row r="241" spans="1:14" ht="15" customHeight="1" x14ac:dyDescent="0.35">
      <c r="A241" s="2" t="str">
        <f>UPPER(TRIM(Raw_Data!A241))</f>
        <v>TRX0152</v>
      </c>
      <c r="B241" s="3">
        <f>Raw_Data!B241</f>
        <v>45743</v>
      </c>
      <c r="C241" s="2" t="str">
        <f>UPPER(TRIM(Raw_Data!C241))</f>
        <v>CUST044</v>
      </c>
      <c r="D241" s="2" t="str">
        <f>PROPER(TRIM(Raw_Data!D241))</f>
        <v>Cynthia Price</v>
      </c>
      <c r="E241" s="2" t="str">
        <f>UPPER(TRIM(Raw_Data!E241))</f>
        <v>P004</v>
      </c>
      <c r="F241" s="2" t="str">
        <f>PROPER(TRIM(Raw_Data!F241))</f>
        <v>Coffee Maker</v>
      </c>
      <c r="G241" s="2" t="str">
        <f>PROPER(TRIM(Raw_Data!G241))</f>
        <v>Appliances</v>
      </c>
      <c r="H241" s="2">
        <f>Raw_Data!H241</f>
        <v>4</v>
      </c>
      <c r="I241" s="4">
        <f>Raw_Data!I241</f>
        <v>79.989999999999995</v>
      </c>
      <c r="J241" s="2" t="str">
        <f>PROPER(TRIM(Raw_Data!J241))</f>
        <v>Credit Card</v>
      </c>
      <c r="K241" s="2" t="str">
        <f>PROPER(TRIM(Raw_Data!K241))</f>
        <v>Central</v>
      </c>
      <c r="L241" s="2" t="str">
        <f>PROPER(TRIM(Raw_Data!L241))</f>
        <v>Basic</v>
      </c>
      <c r="M241" s="3">
        <f>Raw_Data!M241</f>
        <v>45288</v>
      </c>
      <c r="N241" s="4">
        <f>Raw_Data!N241</f>
        <v>319.95999999999998</v>
      </c>
    </row>
    <row r="242" spans="1:14" ht="15" customHeight="1" x14ac:dyDescent="0.35">
      <c r="A242" s="2" t="str">
        <f>UPPER(TRIM(Raw_Data!A242))</f>
        <v>TRX0213</v>
      </c>
      <c r="B242" s="3">
        <f>Raw_Data!B242</f>
        <v>45745</v>
      </c>
      <c r="C242" s="2" t="str">
        <f>UPPER(TRIM(Raw_Data!C242))</f>
        <v>CUST020</v>
      </c>
      <c r="D242" s="2" t="str">
        <f>PROPER(TRIM(Raw_Data!D242))</f>
        <v>Margaret Wright</v>
      </c>
      <c r="E242" s="2" t="str">
        <f>UPPER(TRIM(Raw_Data!E242))</f>
        <v>P010</v>
      </c>
      <c r="F242" s="2" t="str">
        <f>PROPER(TRIM(Raw_Data!F242))</f>
        <v>Keyboard</v>
      </c>
      <c r="G242" s="2" t="str">
        <f>PROPER(TRIM(Raw_Data!G242))</f>
        <v>Electronics</v>
      </c>
      <c r="H242" s="2">
        <f>Raw_Data!H242</f>
        <v>5</v>
      </c>
      <c r="I242" s="4">
        <f>Raw_Data!I242</f>
        <v>89.99</v>
      </c>
      <c r="J242" s="2" t="str">
        <f>PROPER(TRIM(Raw_Data!J242))</f>
        <v>Paypal</v>
      </c>
      <c r="K242" s="2" t="str">
        <f>PROPER(TRIM(Raw_Data!K242))</f>
        <v>South</v>
      </c>
      <c r="L242" s="2" t="str">
        <f>PROPER(TRIM(Raw_Data!L242))</f>
        <v>Basic</v>
      </c>
      <c r="M242" s="3">
        <f>Raw_Data!M242</f>
        <v>44704</v>
      </c>
      <c r="N242" s="4">
        <f>Raw_Data!N242</f>
        <v>449.95</v>
      </c>
    </row>
    <row r="243" spans="1:14" ht="15" customHeight="1" x14ac:dyDescent="0.35">
      <c r="A243" s="2" t="str">
        <f>UPPER(TRIM(Raw_Data!A243))</f>
        <v>TRX0197</v>
      </c>
      <c r="B243" s="3">
        <f>Raw_Data!B243</f>
        <v>45746</v>
      </c>
      <c r="C243" s="2" t="str">
        <f>UPPER(TRIM(Raw_Data!C243))</f>
        <v>CUST048</v>
      </c>
      <c r="D243" s="2" t="str">
        <f>PROPER(TRIM(Raw_Data!D243))</f>
        <v>Virginia Sanders</v>
      </c>
      <c r="E243" s="2" t="str">
        <f>UPPER(TRIM(Raw_Data!E243))</f>
        <v>P008</v>
      </c>
      <c r="F243" s="2" t="str">
        <f>PROPER(TRIM(Raw_Data!F243))</f>
        <v>Bookshelf</v>
      </c>
      <c r="G243" s="2" t="str">
        <f>PROPER(TRIM(Raw_Data!G243))</f>
        <v>Furniture</v>
      </c>
      <c r="H243" s="2">
        <f>Raw_Data!H243</f>
        <v>3</v>
      </c>
      <c r="I243" s="4">
        <f>Raw_Data!I243</f>
        <v>149.99</v>
      </c>
      <c r="J243" s="2" t="str">
        <f>PROPER(TRIM(Raw_Data!J243))</f>
        <v>Paypal</v>
      </c>
      <c r="K243" s="2" t="str">
        <f>PROPER(TRIM(Raw_Data!K243))</f>
        <v>Central</v>
      </c>
      <c r="L243" s="2" t="str">
        <f>PROPER(TRIM(Raw_Data!L243))</f>
        <v>Standard</v>
      </c>
      <c r="M243" s="3">
        <f>Raw_Data!M243</f>
        <v>45171</v>
      </c>
      <c r="N243" s="4">
        <f>Raw_Data!N243</f>
        <v>449.97</v>
      </c>
    </row>
    <row r="244" spans="1:14" ht="15" customHeight="1" x14ac:dyDescent="0.35">
      <c r="A244" s="2" t="str">
        <f>UPPER(TRIM(Raw_Data!A244))</f>
        <v>TRX0250</v>
      </c>
      <c r="B244" s="3">
        <f>Raw_Data!B244</f>
        <v>45746</v>
      </c>
      <c r="C244" s="2" t="str">
        <f>UPPER(TRIM(Raw_Data!C244))</f>
        <v>CUST026</v>
      </c>
      <c r="D244" s="2" t="str">
        <f>PROPER(TRIM(Raw_Data!D244))</f>
        <v>Karen Hill</v>
      </c>
      <c r="E244" s="2" t="str">
        <f>UPPER(TRIM(Raw_Data!E244))</f>
        <v>P010</v>
      </c>
      <c r="F244" s="2" t="str">
        <f>PROPER(TRIM(Raw_Data!F244))</f>
        <v>Keyboard</v>
      </c>
      <c r="G244" s="2" t="str">
        <f>PROPER(TRIM(Raw_Data!G244))</f>
        <v>Electronics</v>
      </c>
      <c r="H244" s="2">
        <f>Raw_Data!H244</f>
        <v>2</v>
      </c>
      <c r="I244" s="4">
        <f>Raw_Data!I244</f>
        <v>89.99</v>
      </c>
      <c r="J244" s="2" t="str">
        <f>PROPER(TRIM(Raw_Data!J244))</f>
        <v>Debit Card</v>
      </c>
      <c r="K244" s="2" t="str">
        <f>PROPER(TRIM(Raw_Data!K244))</f>
        <v>West</v>
      </c>
      <c r="L244" s="2" t="str">
        <f>PROPER(TRIM(Raw_Data!L244))</f>
        <v>Premium</v>
      </c>
      <c r="M244" s="3">
        <f>Raw_Data!M244</f>
        <v>44522</v>
      </c>
      <c r="N244" s="4">
        <f>Raw_Data!N244</f>
        <v>179.98</v>
      </c>
    </row>
    <row r="245" spans="1:14" ht="15" customHeight="1" x14ac:dyDescent="0.35">
      <c r="A245" s="2" t="str">
        <f>UPPER(TRIM(Raw_Data!A245))</f>
        <v>TRX0068</v>
      </c>
      <c r="B245" s="3">
        <f>Raw_Data!B245</f>
        <v>45748</v>
      </c>
      <c r="C245" s="2" t="str">
        <f>UPPER(TRIM(Raw_Data!C245))</f>
        <v>CUST044</v>
      </c>
      <c r="D245" s="2" t="str">
        <f>PROPER(TRIM(Raw_Data!D245))</f>
        <v>Cynthia Price</v>
      </c>
      <c r="E245" s="2" t="str">
        <f>UPPER(TRIM(Raw_Data!E245))</f>
        <v>P002</v>
      </c>
      <c r="F245" s="2" t="str">
        <f>PROPER(TRIM(Raw_Data!F245))</f>
        <v>Smartphone</v>
      </c>
      <c r="G245" s="2" t="str">
        <f>PROPER(TRIM(Raw_Data!G245))</f>
        <v>Electronics</v>
      </c>
      <c r="H245" s="2">
        <f>Raw_Data!H245</f>
        <v>2</v>
      </c>
      <c r="I245" s="4">
        <f>Raw_Data!I245</f>
        <v>699.99</v>
      </c>
      <c r="J245" s="2" t="str">
        <f>PROPER(TRIM(Raw_Data!J245))</f>
        <v>Paypal</v>
      </c>
      <c r="K245" s="2" t="str">
        <f>PROPER(TRIM(Raw_Data!K245))</f>
        <v>North</v>
      </c>
      <c r="L245" s="2" t="str">
        <f>PROPER(TRIM(Raw_Data!L245))</f>
        <v>Standard</v>
      </c>
      <c r="M245" s="3">
        <f>Raw_Data!M245</f>
        <v>44618</v>
      </c>
      <c r="N245" s="4">
        <f>Raw_Data!N245</f>
        <v>1399.98</v>
      </c>
    </row>
    <row r="246" spans="1:14" ht="15" customHeight="1" x14ac:dyDescent="0.35">
      <c r="A246" s="2" t="str">
        <f>UPPER(TRIM(Raw_Data!A246))</f>
        <v>TRX0144</v>
      </c>
      <c r="B246" s="3">
        <f>Raw_Data!B246</f>
        <v>45749</v>
      </c>
      <c r="C246" s="2" t="str">
        <f>UPPER(TRIM(Raw_Data!C246))</f>
        <v>CUST029</v>
      </c>
      <c r="D246" s="2" t="str">
        <f>PROPER(TRIM(Raw_Data!D246))</f>
        <v>Edward Mitchell</v>
      </c>
      <c r="E246" s="2" t="str">
        <f>UPPER(TRIM(Raw_Data!E246))</f>
        <v>P001</v>
      </c>
      <c r="F246" s="2" t="str">
        <f>PROPER(TRIM(Raw_Data!F246))</f>
        <v>Laptop</v>
      </c>
      <c r="G246" s="2" t="str">
        <f>PROPER(TRIM(Raw_Data!G246))</f>
        <v>Electronics</v>
      </c>
      <c r="H246" s="2">
        <f>Raw_Data!H246</f>
        <v>3</v>
      </c>
      <c r="I246" s="4">
        <f>Raw_Data!I246</f>
        <v>899.99</v>
      </c>
      <c r="J246" s="2" t="str">
        <f>PROPER(TRIM(Raw_Data!J246))</f>
        <v>Cash</v>
      </c>
      <c r="K246" s="2" t="str">
        <f>PROPER(TRIM(Raw_Data!K246))</f>
        <v>Central</v>
      </c>
      <c r="L246" s="2" t="str">
        <f>PROPER(TRIM(Raw_Data!L246))</f>
        <v>Standard</v>
      </c>
      <c r="M246" s="3">
        <f>Raw_Data!M246</f>
        <v>44953</v>
      </c>
      <c r="N246" s="4">
        <f>Raw_Data!N246</f>
        <v>2699.97</v>
      </c>
    </row>
    <row r="247" spans="1:14" ht="15" customHeight="1" x14ac:dyDescent="0.35">
      <c r="A247" s="2" t="str">
        <f>UPPER(TRIM(Raw_Data!A247))</f>
        <v>TRX0039</v>
      </c>
      <c r="B247" s="3">
        <f>Raw_Data!B247</f>
        <v>45755</v>
      </c>
      <c r="C247" s="2" t="str">
        <f>UPPER(TRIM(Raw_Data!C247))</f>
        <v>CUST048</v>
      </c>
      <c r="D247" s="2" t="str">
        <f>PROPER(TRIM(Raw_Data!D247))</f>
        <v>Virginia Sanders</v>
      </c>
      <c r="E247" s="2" t="str">
        <f>UPPER(TRIM(Raw_Data!E247))</f>
        <v>P004</v>
      </c>
      <c r="F247" s="2" t="str">
        <f>PROPER(TRIM(Raw_Data!F247))</f>
        <v>Coffee Maker</v>
      </c>
      <c r="G247" s="2" t="str">
        <f>PROPER(TRIM(Raw_Data!G247))</f>
        <v>Appliances</v>
      </c>
      <c r="H247" s="2">
        <f>Raw_Data!H247</f>
        <v>3</v>
      </c>
      <c r="I247" s="4">
        <f>Raw_Data!I247</f>
        <v>79.989999999999995</v>
      </c>
      <c r="J247" s="2" t="str">
        <f>PROPER(TRIM(Raw_Data!J247))</f>
        <v>Credit Card</v>
      </c>
      <c r="K247" s="2" t="str">
        <f>PROPER(TRIM(Raw_Data!K247))</f>
        <v>North</v>
      </c>
      <c r="L247" s="2" t="str">
        <f>PROPER(TRIM(Raw_Data!L247))</f>
        <v>Basic</v>
      </c>
      <c r="M247" s="3">
        <f>Raw_Data!M247</f>
        <v>44511</v>
      </c>
      <c r="N247" s="4">
        <f>Raw_Data!N247</f>
        <v>239.97</v>
      </c>
    </row>
    <row r="248" spans="1:14" ht="15" customHeight="1" x14ac:dyDescent="0.35">
      <c r="A248" s="2" t="str">
        <f>UPPER(TRIM(Raw_Data!A248))</f>
        <v>TRX0116</v>
      </c>
      <c r="B248" s="3">
        <f>Raw_Data!B248</f>
        <v>45756</v>
      </c>
      <c r="C248" s="2" t="str">
        <f>UPPER(TRIM(Raw_Data!C248))</f>
        <v>CUST009</v>
      </c>
      <c r="D248" s="2" t="str">
        <f>PROPER(TRIM(Raw_Data!D248))</f>
        <v>Robert Thomas</v>
      </c>
      <c r="E248" s="2" t="str">
        <f>UPPER(TRIM(Raw_Data!E248))</f>
        <v>P010</v>
      </c>
      <c r="F248" s="2" t="str">
        <f>PROPER(TRIM(Raw_Data!F248))</f>
        <v>Keyboard</v>
      </c>
      <c r="G248" s="2" t="str">
        <f>PROPER(TRIM(Raw_Data!G248))</f>
        <v>Electronics</v>
      </c>
      <c r="H248" s="2">
        <f>Raw_Data!H248</f>
        <v>1</v>
      </c>
      <c r="I248" s="4">
        <f>Raw_Data!I248</f>
        <v>89.99</v>
      </c>
      <c r="J248" s="2" t="str">
        <f>PROPER(TRIM(Raw_Data!J248))</f>
        <v>Debit Card</v>
      </c>
      <c r="K248" s="2" t="str">
        <f>PROPER(TRIM(Raw_Data!K248))</f>
        <v>East</v>
      </c>
      <c r="L248" s="2" t="str">
        <f>PROPER(TRIM(Raw_Data!L248))</f>
        <v>Basic</v>
      </c>
      <c r="M248" s="3">
        <f>Raw_Data!M248</f>
        <v>45346</v>
      </c>
      <c r="N248" s="4">
        <f>Raw_Data!N248</f>
        <v>89.99</v>
      </c>
    </row>
    <row r="249" spans="1:14" ht="15" customHeight="1" x14ac:dyDescent="0.35">
      <c r="A249" s="2" t="str">
        <f>UPPER(TRIM(Raw_Data!A249))</f>
        <v>TRX0120</v>
      </c>
      <c r="B249" s="3">
        <f>Raw_Data!B249</f>
        <v>45758</v>
      </c>
      <c r="C249" s="2" t="str">
        <f>UPPER(TRIM(Raw_Data!C249))</f>
        <v>CUST045</v>
      </c>
      <c r="D249" s="2" t="str">
        <f>PROPER(TRIM(Raw_Data!D249))</f>
        <v>Douglas Watson</v>
      </c>
      <c r="E249" s="2" t="str">
        <f>UPPER(TRIM(Raw_Data!E249))</f>
        <v>P002</v>
      </c>
      <c r="F249" s="2" t="str">
        <f>PROPER(TRIM(Raw_Data!F249))</f>
        <v>Smartphone</v>
      </c>
      <c r="G249" s="2" t="str">
        <f>PROPER(TRIM(Raw_Data!G249))</f>
        <v>Electronics</v>
      </c>
      <c r="H249" s="2">
        <f>Raw_Data!H249</f>
        <v>3</v>
      </c>
      <c r="I249" s="4">
        <f>Raw_Data!I249</f>
        <v>699.99</v>
      </c>
      <c r="J249" s="2" t="str">
        <f>PROPER(TRIM(Raw_Data!J249))</f>
        <v>Paypal</v>
      </c>
      <c r="K249" s="2" t="str">
        <f>PROPER(TRIM(Raw_Data!K249))</f>
        <v>North</v>
      </c>
      <c r="L249" s="2" t="str">
        <f>PROPER(TRIM(Raw_Data!L249))</f>
        <v>Basic</v>
      </c>
      <c r="M249" s="3">
        <f>Raw_Data!M249</f>
        <v>44909</v>
      </c>
      <c r="N249" s="4">
        <f>Raw_Data!N249</f>
        <v>2099.9699999999998</v>
      </c>
    </row>
    <row r="250" spans="1:14" ht="15" customHeight="1" x14ac:dyDescent="0.35">
      <c r="A250" s="2" t="str">
        <f>UPPER(TRIM(Raw_Data!A250))</f>
        <v>TRX0103</v>
      </c>
      <c r="B250" s="3">
        <f>Raw_Data!B250</f>
        <v>45758</v>
      </c>
      <c r="C250" s="2" t="str">
        <f>UPPER(TRIM(Raw_Data!C250))</f>
        <v>CUST039</v>
      </c>
      <c r="D250" s="2" t="str">
        <f>PROPER(TRIM(Raw_Data!D250))</f>
        <v>Lawrence Reed</v>
      </c>
      <c r="E250" s="2" t="str">
        <f>UPPER(TRIM(Raw_Data!E250))</f>
        <v>P010</v>
      </c>
      <c r="F250" s="2" t="str">
        <f>PROPER(TRIM(Raw_Data!F250))</f>
        <v>Keyboard</v>
      </c>
      <c r="G250" s="2" t="str">
        <f>PROPER(TRIM(Raw_Data!G250))</f>
        <v>Electronics</v>
      </c>
      <c r="H250" s="2">
        <f>Raw_Data!H250</f>
        <v>2</v>
      </c>
      <c r="I250" s="4">
        <f>Raw_Data!I250</f>
        <v>89.99</v>
      </c>
      <c r="J250" s="2" t="str">
        <f>PROPER(TRIM(Raw_Data!J250))</f>
        <v>Debit Card</v>
      </c>
      <c r="K250" s="2" t="str">
        <f>PROPER(TRIM(Raw_Data!K250))</f>
        <v>East</v>
      </c>
      <c r="L250" s="2" t="str">
        <f>PROPER(TRIM(Raw_Data!L250))</f>
        <v>Basic</v>
      </c>
      <c r="M250" s="3">
        <f>Raw_Data!M250</f>
        <v>45088</v>
      </c>
      <c r="N250" s="4">
        <f>Raw_Data!N250</f>
        <v>179.98</v>
      </c>
    </row>
    <row r="251" spans="1:14" ht="15" customHeight="1" x14ac:dyDescent="0.35">
      <c r="A251" s="2" t="str">
        <f>UPPER(TRIM(Raw_Data!A251))</f>
        <v>TRX0064</v>
      </c>
      <c r="B251" s="3">
        <f>Raw_Data!B251</f>
        <v>45758</v>
      </c>
      <c r="C251" s="2" t="str">
        <f>UPPER(TRIM(Raw_Data!C251))</f>
        <v>CUST031</v>
      </c>
      <c r="D251" s="2" t="str">
        <f>PROPER(TRIM(Raw_Data!D251))</f>
        <v>Steven Turner</v>
      </c>
      <c r="E251" s="2" t="str">
        <f>UPPER(TRIM(Raw_Data!E251))</f>
        <v>P010</v>
      </c>
      <c r="F251" s="2" t="str">
        <f>PROPER(TRIM(Raw_Data!F251))</f>
        <v>Keyboard</v>
      </c>
      <c r="G251" s="2" t="str">
        <f>PROPER(TRIM(Raw_Data!G251))</f>
        <v>Electronics</v>
      </c>
      <c r="H251" s="2">
        <f>Raw_Data!H251</f>
        <v>3</v>
      </c>
      <c r="I251" s="4">
        <f>Raw_Data!I251</f>
        <v>89.99</v>
      </c>
      <c r="J251" s="2" t="str">
        <f>PROPER(TRIM(Raw_Data!J251))</f>
        <v>Debit Card</v>
      </c>
      <c r="K251" s="2" t="str">
        <f>PROPER(TRIM(Raw_Data!K251))</f>
        <v>North</v>
      </c>
      <c r="L251" s="2" t="str">
        <f>PROPER(TRIM(Raw_Data!L251))</f>
        <v>Premium</v>
      </c>
      <c r="M251" s="3">
        <f>Raw_Data!M251</f>
        <v>44878</v>
      </c>
      <c r="N251" s="4">
        <f>Raw_Data!N251</f>
        <v>269.97000000000003</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32"/>
  </sheetPr>
  <dimension ref="A1:AB235"/>
  <sheetViews>
    <sheetView topLeftCell="D1" zoomScale="47" zoomScaleNormal="47" workbookViewId="0">
      <selection activeCell="L13" sqref="L13"/>
    </sheetView>
  </sheetViews>
  <sheetFormatPr defaultColWidth="8.6328125" defaultRowHeight="14.5" x14ac:dyDescent="0.35"/>
  <cols>
    <col min="1" max="1" width="12" customWidth="1"/>
    <col min="2" max="2" width="18" customWidth="1"/>
    <col min="3" max="4" width="15" customWidth="1"/>
    <col min="5" max="5" width="13" customWidth="1"/>
    <col min="6" max="7" width="14" customWidth="1"/>
    <col min="8" max="8" width="11" customWidth="1"/>
    <col min="9" max="9" width="14" customWidth="1"/>
    <col min="10" max="10" width="13" customWidth="1"/>
    <col min="11" max="11" width="22" customWidth="1"/>
    <col min="12" max="12" width="14" customWidth="1"/>
    <col min="17" max="17" width="11.08984375" customWidth="1"/>
    <col min="19" max="19" width="11.81640625" customWidth="1"/>
    <col min="23" max="23" width="17.6328125" customWidth="1"/>
    <col min="24" max="24" width="10.54296875" customWidth="1"/>
    <col min="27" max="27" width="11.26953125" customWidth="1"/>
    <col min="28" max="28" width="45.7265625" customWidth="1"/>
  </cols>
  <sheetData>
    <row r="1" spans="1:28" ht="15.75" customHeight="1" x14ac:dyDescent="0.35">
      <c r="A1" s="82"/>
      <c r="B1" s="68"/>
      <c r="C1" s="68"/>
      <c r="D1" s="68"/>
      <c r="E1" s="68"/>
      <c r="F1" s="68"/>
      <c r="G1" s="68"/>
      <c r="H1" s="68"/>
      <c r="I1" s="68"/>
      <c r="J1" s="68"/>
      <c r="K1" s="68"/>
    </row>
    <row r="3" spans="1:28" ht="23.25" customHeight="1" x14ac:dyDescent="0.35">
      <c r="A3" s="6" t="s">
        <v>407</v>
      </c>
      <c r="B3" s="6" t="s">
        <v>22</v>
      </c>
      <c r="C3" s="6" t="s">
        <v>31</v>
      </c>
      <c r="D3" s="6" t="s">
        <v>408</v>
      </c>
      <c r="E3" s="6" t="s">
        <v>409</v>
      </c>
      <c r="F3" s="6" t="s">
        <v>410</v>
      </c>
      <c r="G3" s="6" t="s">
        <v>411</v>
      </c>
      <c r="H3" s="6" t="s">
        <v>412</v>
      </c>
      <c r="I3" s="6" t="s">
        <v>413</v>
      </c>
      <c r="J3" s="6" t="s">
        <v>414</v>
      </c>
      <c r="K3" s="6" t="s">
        <v>415</v>
      </c>
      <c r="L3" s="6" t="s">
        <v>416</v>
      </c>
      <c r="O3" s="81" t="s">
        <v>417</v>
      </c>
      <c r="P3" s="68"/>
      <c r="Q3" s="68"/>
      <c r="R3" s="68"/>
      <c r="S3" s="68"/>
      <c r="T3" s="68"/>
      <c r="W3" s="81" t="s">
        <v>418</v>
      </c>
      <c r="X3" s="68"/>
      <c r="Y3" s="68"/>
      <c r="Z3" s="68"/>
      <c r="AA3" s="68"/>
      <c r="AB3" s="68"/>
    </row>
    <row r="4" spans="1:28" ht="15" customHeight="1" x14ac:dyDescent="0.35">
      <c r="A4" s="7" t="s">
        <v>394</v>
      </c>
      <c r="B4" s="7" t="str">
        <f>INDEX(Data_Cleaning!$D$2:$D$251,MATCH(A4,Data_Cleaning!$C$2:$C$251,0))</f>
        <v>John Smith</v>
      </c>
      <c r="C4" s="8">
        <f>INDEX(Data_Cleaning!$M$2:$M$251,MATCH(A4,Data_Cleaning!$C$2:$C$251,0))</f>
        <v>44560</v>
      </c>
      <c r="D4" s="7">
        <f t="shared" ref="D4:D35" ca="1" si="0">DATEDIF(C4,TODAY(),"y")</f>
        <v>4</v>
      </c>
      <c r="E4" s="9">
        <f>SUMIFS(Data_Cleaning!$N$2:$N$251,Data_Cleaning!$C$2:$C$251,A4)</f>
        <v>599.96</v>
      </c>
      <c r="F4" s="7">
        <f>COUNTIFS(Data_Cleaning!$C$2:$C$251,A4)</f>
        <v>1</v>
      </c>
      <c r="G4" s="9">
        <f t="shared" ref="G4:G35" si="1">IFERROR(E4/F4,0)</f>
        <v>599.96</v>
      </c>
      <c r="H4" s="7">
        <f t="shared" ref="H4:H35" si="2">RANK(E4,$E$4:$E$53)</f>
        <v>47</v>
      </c>
      <c r="I4" s="7" t="str">
        <f t="shared" ref="I4:I35" si="3">IF(H4&lt;=10,"High Value","Standard")</f>
        <v>Standard</v>
      </c>
      <c r="J4" s="7" t="str">
        <f>IF(COUNTIFS(Data_Cleaning!$C$2:$C$251,A4,Data_Cleaning!$F$2:$F$251,"Laptop")&gt;0,"Yes","No")</f>
        <v>No</v>
      </c>
      <c r="K4" s="7" t="str">
        <f>IF(AND(COUNTIFS(Data_Cleaning!$C$2:$C$251,A4,Data_Cleaning!$L$2:$L$251,"Premium")&gt;0,J4="Yes"),B4,"")</f>
        <v/>
      </c>
      <c r="L4" s="7" t="str">
        <f t="shared" ref="L4:L35" si="4">UPPER(LEFT(B4,3))&amp;"-"&amp;RIGHT(A4,3)</f>
        <v>JOH-001</v>
      </c>
    </row>
    <row r="5" spans="1:28" ht="15" customHeight="1" x14ac:dyDescent="0.35">
      <c r="A5" s="7" t="s">
        <v>140</v>
      </c>
      <c r="B5" s="7" t="str">
        <f>INDEX(Data_Cleaning!$D$2:$D$251,MATCH(A5,Data_Cleaning!$C$2:$C$251,0))</f>
        <v>Emma Wilson</v>
      </c>
      <c r="C5" s="8">
        <f>INDEX(Data_Cleaning!$M$2:$M$251,MATCH(A5,Data_Cleaning!$C$2:$C$251,0))</f>
        <v>45068</v>
      </c>
      <c r="D5" s="7">
        <f t="shared" ca="1" si="0"/>
        <v>3</v>
      </c>
      <c r="E5" s="9">
        <f>SUMIFS(Data_Cleaning!$N$2:$N$251,Data_Cleaning!$C$2:$C$251,A5)</f>
        <v>1229.8800000000001</v>
      </c>
      <c r="F5" s="7">
        <f>COUNTIFS(Data_Cleaning!$C$2:$C$251,A5)</f>
        <v>5</v>
      </c>
      <c r="G5" s="9">
        <f t="shared" si="1"/>
        <v>245.97600000000003</v>
      </c>
      <c r="H5" s="7">
        <f t="shared" si="2"/>
        <v>44</v>
      </c>
      <c r="I5" s="7" t="str">
        <f t="shared" si="3"/>
        <v>Standard</v>
      </c>
      <c r="J5" s="7" t="str">
        <f>IF(COUNTIFS(Data_Cleaning!$C$2:$C$251,A5,Data_Cleaning!$F$2:$F$251,"Laptop")&gt;0,"Yes","No")</f>
        <v>No</v>
      </c>
      <c r="K5" s="7" t="str">
        <f>IF(AND(COUNTIFS(Data_Cleaning!$C$2:$C$251,A5,Data_Cleaning!$L$2:$L$251,"Premium")&gt;0,J5="Yes"),B5,"")</f>
        <v/>
      </c>
      <c r="L5" s="7" t="str">
        <f t="shared" si="4"/>
        <v>EMM-002</v>
      </c>
      <c r="O5" s="10" t="s">
        <v>23</v>
      </c>
      <c r="P5" s="10" t="s">
        <v>24</v>
      </c>
      <c r="Q5" s="10" t="s">
        <v>419</v>
      </c>
      <c r="R5" s="10" t="s">
        <v>420</v>
      </c>
      <c r="S5" s="10" t="s">
        <v>421</v>
      </c>
      <c r="T5" s="10" t="s">
        <v>422</v>
      </c>
      <c r="W5" s="11" t="s">
        <v>423</v>
      </c>
      <c r="X5" s="12" t="s">
        <v>13</v>
      </c>
    </row>
    <row r="6" spans="1:28" ht="15" customHeight="1" x14ac:dyDescent="0.35">
      <c r="A6" s="7" t="s">
        <v>53</v>
      </c>
      <c r="B6" s="7" t="str">
        <f>INDEX(Data_Cleaning!$D$2:$D$251,MATCH(A6,Data_Cleaning!$C$2:$C$251,0))</f>
        <v>Michael Brown</v>
      </c>
      <c r="C6" s="8">
        <f>INDEX(Data_Cleaning!$M$2:$M$251,MATCH(A6,Data_Cleaning!$C$2:$C$251,0))</f>
        <v>45295</v>
      </c>
      <c r="D6" s="7">
        <f t="shared" ca="1" si="0"/>
        <v>2</v>
      </c>
      <c r="E6" s="9">
        <f>SUMIFS(Data_Cleaning!$N$2:$N$251,Data_Cleaning!$C$2:$C$251,A6)</f>
        <v>6169.7400000000007</v>
      </c>
      <c r="F6" s="7">
        <f>COUNTIFS(Data_Cleaning!$C$2:$C$251,A6)</f>
        <v>9</v>
      </c>
      <c r="G6" s="9">
        <f t="shared" si="1"/>
        <v>685.52666666666676</v>
      </c>
      <c r="H6" s="7">
        <f t="shared" si="2"/>
        <v>14</v>
      </c>
      <c r="I6" s="7" t="str">
        <f t="shared" si="3"/>
        <v>Standard</v>
      </c>
      <c r="J6" s="7" t="str">
        <f>IF(COUNTIFS(Data_Cleaning!$C$2:$C$251,A6,Data_Cleaning!$F$2:$F$251,"Laptop")&gt;0,"Yes","No")</f>
        <v>No</v>
      </c>
      <c r="K6" s="7" t="str">
        <f>IF(AND(COUNTIFS(Data_Cleaning!$C$2:$C$251,A6,Data_Cleaning!$L$2:$L$251,"Premium")&gt;0,J6="Yes"),B6,"")</f>
        <v/>
      </c>
      <c r="L6" s="7" t="str">
        <f t="shared" si="4"/>
        <v>MIC-003</v>
      </c>
      <c r="O6" s="7" t="s">
        <v>70</v>
      </c>
      <c r="P6" s="7" t="s">
        <v>71</v>
      </c>
      <c r="Q6" s="7">
        <f>SUMIFS(Data_Cleaning!$H$2:$H$251,Data_Cleaning!$E$2:$E$251,O6)</f>
        <v>75</v>
      </c>
      <c r="R6" s="7">
        <f>COUNTIFS(Data_Cleaning!$E$2:$E$251,O6)</f>
        <v>24</v>
      </c>
      <c r="S6" s="9">
        <f>SUMIFS(Data_Cleaning!$N$2:$N$251,Data_Cleaning!$E$2:$E$251,O6)</f>
        <v>67499.25</v>
      </c>
      <c r="T6" s="7" t="str">
        <f t="shared" ref="T6:T15" si="5">UPPER(LEFT(P6,1))&amp;UPPER(LEFT(SUBSTITUTE(P6," ",""),3))</f>
        <v>LLAP</v>
      </c>
    </row>
    <row r="7" spans="1:28" ht="15" customHeight="1" x14ac:dyDescent="0.35">
      <c r="A7" s="7" t="s">
        <v>162</v>
      </c>
      <c r="B7" s="7" t="str">
        <f>INDEX(Data_Cleaning!$D$2:$D$251,MATCH(A7,Data_Cleaning!$C$2:$C$251,0))</f>
        <v>Sarah Davis</v>
      </c>
      <c r="C7" s="8">
        <f>INDEX(Data_Cleaning!$M$2:$M$251,MATCH(A7,Data_Cleaning!$C$2:$C$251,0))</f>
        <v>44587</v>
      </c>
      <c r="D7" s="7">
        <f t="shared" ca="1" si="0"/>
        <v>4</v>
      </c>
      <c r="E7" s="9">
        <f>SUMIFS(Data_Cleaning!$N$2:$N$251,Data_Cleaning!$C$2:$C$251,A7)</f>
        <v>5499.8099999999995</v>
      </c>
      <c r="F7" s="7">
        <f>COUNTIFS(Data_Cleaning!$C$2:$C$251,A7)</f>
        <v>5</v>
      </c>
      <c r="G7" s="9">
        <f t="shared" si="1"/>
        <v>1099.962</v>
      </c>
      <c r="H7" s="7">
        <f t="shared" si="2"/>
        <v>19</v>
      </c>
      <c r="I7" s="7" t="str">
        <f t="shared" si="3"/>
        <v>Standard</v>
      </c>
      <c r="J7" s="7" t="str">
        <f>IF(COUNTIFS(Data_Cleaning!$C$2:$C$251,A7,Data_Cleaning!$F$2:$F$251,"Laptop")&gt;0,"Yes","No")</f>
        <v>No</v>
      </c>
      <c r="K7" s="7" t="str">
        <f>IF(AND(COUNTIFS(Data_Cleaning!$C$2:$C$251,A7,Data_Cleaning!$L$2:$L$251,"Premium")&gt;0,J7="Yes"),B7,"")</f>
        <v/>
      </c>
      <c r="L7" s="7" t="str">
        <f t="shared" si="4"/>
        <v>SAR-004</v>
      </c>
      <c r="O7" s="7" t="s">
        <v>88</v>
      </c>
      <c r="P7" s="7" t="s">
        <v>89</v>
      </c>
      <c r="Q7" s="7">
        <f>SUMIFS(Data_Cleaning!$H$2:$H$251,Data_Cleaning!$E$2:$E$251,O7)</f>
        <v>96</v>
      </c>
      <c r="R7" s="7">
        <f>COUNTIFS(Data_Cleaning!$E$2:$E$251,O7)</f>
        <v>31</v>
      </c>
      <c r="S7" s="9">
        <f>SUMIFS(Data_Cleaning!$N$2:$N$251,Data_Cleaning!$E$2:$E$251,O7)</f>
        <v>67199.039999999994</v>
      </c>
      <c r="T7" s="7" t="str">
        <f t="shared" si="5"/>
        <v>SSMA</v>
      </c>
      <c r="W7" s="10" t="s">
        <v>20</v>
      </c>
      <c r="X7" s="10" t="s">
        <v>11</v>
      </c>
      <c r="Y7" s="10" t="s">
        <v>22</v>
      </c>
      <c r="Z7" s="10" t="s">
        <v>24</v>
      </c>
      <c r="AA7" s="10" t="s">
        <v>32</v>
      </c>
    </row>
    <row r="8" spans="1:28" ht="15" customHeight="1" x14ac:dyDescent="0.35">
      <c r="A8" s="7" t="s">
        <v>312</v>
      </c>
      <c r="B8" s="7" t="str">
        <f>INDEX(Data_Cleaning!$D$2:$D$251,MATCH(A8,Data_Cleaning!$C$2:$C$251,0))</f>
        <v>James Johnson</v>
      </c>
      <c r="C8" s="8">
        <f>INDEX(Data_Cleaning!$M$2:$M$251,MATCH(A8,Data_Cleaning!$C$2:$C$251,0))</f>
        <v>45052</v>
      </c>
      <c r="D8" s="7">
        <f t="shared" ca="1" si="0"/>
        <v>3</v>
      </c>
      <c r="E8" s="9">
        <f>SUMIFS(Data_Cleaning!$N$2:$N$251,Data_Cleaning!$C$2:$C$251,A8)</f>
        <v>179.97</v>
      </c>
      <c r="F8" s="7">
        <f>COUNTIFS(Data_Cleaning!$C$2:$C$251,A8)</f>
        <v>1</v>
      </c>
      <c r="G8" s="9">
        <f t="shared" si="1"/>
        <v>179.97</v>
      </c>
      <c r="H8" s="7">
        <f t="shared" si="2"/>
        <v>50</v>
      </c>
      <c r="I8" s="7" t="str">
        <f t="shared" si="3"/>
        <v>Standard</v>
      </c>
      <c r="J8" s="7" t="str">
        <f>IF(COUNTIFS(Data_Cleaning!$C$2:$C$251,A8,Data_Cleaning!$F$2:$F$251,"Laptop")&gt;0,"Yes","No")</f>
        <v>No</v>
      </c>
      <c r="K8" s="7" t="str">
        <f>IF(AND(COUNTIFS(Data_Cleaning!$C$2:$C$251,A8,Data_Cleaning!$L$2:$L$251,"Premium")&gt;0,J8="Yes"),B8,"")</f>
        <v/>
      </c>
      <c r="L8" s="7" t="str">
        <f t="shared" si="4"/>
        <v>JAM-005</v>
      </c>
      <c r="O8" s="7" t="s">
        <v>61</v>
      </c>
      <c r="P8" s="7" t="s">
        <v>62</v>
      </c>
      <c r="Q8" s="7">
        <f>SUMIFS(Data_Cleaning!$H$2:$H$251,Data_Cleaning!$E$2:$E$251,O8)</f>
        <v>47</v>
      </c>
      <c r="R8" s="7">
        <f>COUNTIFS(Data_Cleaning!$E$2:$E$251,O8)</f>
        <v>16</v>
      </c>
      <c r="S8" s="9">
        <f>SUMIFS(Data_Cleaning!$N$2:$N$251,Data_Cleaning!$E$2:$E$251,O8)</f>
        <v>7049.5299999999988</v>
      </c>
      <c r="T8" s="7" t="str">
        <f t="shared" si="5"/>
        <v>HHEA</v>
      </c>
      <c r="W8" s="7" t="str">
        <f t="array" ref="W8">IFERROR(INDEX(Data_Cleaning!$A$2:$A$251,SMALL(IF(Data_Cleaning!$G$2:$G$251=$X5,ROW(Data_Cleaning!$G$2:$G$251)-ROW(Data_Cleaning!$G$2)+1),1)),"")</f>
        <v>TRX0155</v>
      </c>
      <c r="X8" s="8">
        <f t="array" ref="X8">IFERROR(INDEX(Data_Cleaning!$B$2:$B$251,SMALL(IF(Data_Cleaning!$G$2:$G$251=$X5,ROW(Data_Cleaning!$G$2:$G$251)-ROW(Data_Cleaning!$G$2)+1),1)),"")</f>
        <v>45393</v>
      </c>
      <c r="Y8" s="7" t="str">
        <f t="array" ref="Y8">IFERROR(INDEX(Data_Cleaning!$D$2:$D$251,SMALL(IF(Data_Cleaning!$G$2:$G$251=$X5,ROW(Data_Cleaning!$G$2:$G$251)-ROW(Data_Cleaning!$G$2)+1),1)),"")</f>
        <v>Paul Baker</v>
      </c>
      <c r="Z8" s="7" t="str">
        <f t="array" ref="Z8">IFERROR(INDEX(Data_Cleaning!$F$2:$F$251,SMALL(IF(Data_Cleaning!$G$2:$G$251=$X5,ROW(Data_Cleaning!$G$2:$G$251)-ROW(Data_Cleaning!$G$2)+1),1)),"")</f>
        <v>Monitor</v>
      </c>
      <c r="AA8" s="9">
        <f t="array" ref="AA8">IFERROR(INDEX(Data_Cleaning!$N$2:$N$251,SMALL(IF(Data_Cleaning!$G$2:$G$251=$X5,ROW(Data_Cleaning!$G$2:$G$251)-ROW(Data_Cleaning!$G$2)+1),1)),"")</f>
        <v>749.97</v>
      </c>
    </row>
    <row r="9" spans="1:28" ht="15" customHeight="1" x14ac:dyDescent="0.35">
      <c r="A9" s="7" t="s">
        <v>137</v>
      </c>
      <c r="B9" s="7" t="str">
        <f>INDEX(Data_Cleaning!$D$2:$D$251,MATCH(A9,Data_Cleaning!$C$2:$C$251,0))</f>
        <v>Lisa Anderson</v>
      </c>
      <c r="C9" s="8">
        <f>INDEX(Data_Cleaning!$M$2:$M$251,MATCH(A9,Data_Cleaning!$C$2:$C$251,0))</f>
        <v>44823</v>
      </c>
      <c r="D9" s="7">
        <f t="shared" ca="1" si="0"/>
        <v>4</v>
      </c>
      <c r="E9" s="9">
        <f>SUMIFS(Data_Cleaning!$N$2:$N$251,Data_Cleaning!$C$2:$C$251,A9)</f>
        <v>2039.8000000000002</v>
      </c>
      <c r="F9" s="7">
        <f>COUNTIFS(Data_Cleaning!$C$2:$C$251,A9)</f>
        <v>5</v>
      </c>
      <c r="G9" s="9">
        <f t="shared" si="1"/>
        <v>407.96000000000004</v>
      </c>
      <c r="H9" s="7">
        <f t="shared" si="2"/>
        <v>36</v>
      </c>
      <c r="I9" s="7" t="str">
        <f t="shared" si="3"/>
        <v>Standard</v>
      </c>
      <c r="J9" s="7" t="str">
        <f>IF(COUNTIFS(Data_Cleaning!$C$2:$C$251,A9,Data_Cleaning!$F$2:$F$251,"Laptop")&gt;0,"Yes","No")</f>
        <v>No</v>
      </c>
      <c r="K9" s="7" t="str">
        <f>IF(AND(COUNTIFS(Data_Cleaning!$C$2:$C$251,A9,Data_Cleaning!$L$2:$L$251,"Premium")&gt;0,J9="Yes"),B9,"")</f>
        <v/>
      </c>
      <c r="L9" s="7" t="str">
        <f t="shared" si="4"/>
        <v>LIS-006</v>
      </c>
      <c r="O9" s="7" t="s">
        <v>122</v>
      </c>
      <c r="P9" s="7" t="s">
        <v>123</v>
      </c>
      <c r="Q9" s="7">
        <f>SUMIFS(Data_Cleaning!$H$2:$H$251,Data_Cleaning!$E$2:$E$251,O9)</f>
        <v>39</v>
      </c>
      <c r="R9" s="7">
        <f>COUNTIFS(Data_Cleaning!$E$2:$E$251,O9)</f>
        <v>14</v>
      </c>
      <c r="S9" s="9">
        <f>SUMIFS(Data_Cleaning!$N$2:$N$251,Data_Cleaning!$E$2:$E$251,O9)</f>
        <v>3119.6099999999992</v>
      </c>
      <c r="T9" s="7" t="str">
        <f t="shared" si="5"/>
        <v>CCOF</v>
      </c>
      <c r="W9" s="7" t="str">
        <f t="array" ref="W9">IFERROR(INDEX(Data_Cleaning!$A$2:$A$251,SMALL(IF(Data_Cleaning!$G$2:$G$251=$X5,ROW(Data_Cleaning!$G$2:$G$251)-ROW(Data_Cleaning!$G$2)+1),2)),"")</f>
        <v>TRX0023</v>
      </c>
      <c r="X9" s="8">
        <f t="array" ref="X9">IFERROR(INDEX(Data_Cleaning!$B$2:$B$251,SMALL(IF(Data_Cleaning!$G$2:$G$251=$X5,ROW(Data_Cleaning!$G$2:$G$251)-ROW(Data_Cleaning!$G$2)+1),2)),"")</f>
        <v>45396</v>
      </c>
      <c r="Y9" s="7" t="str">
        <f t="array" ref="Y9">IFERROR(INDEX(Data_Cleaning!$D$2:$D$251,SMALL(IF(Data_Cleaning!$G$2:$G$251=$X5,ROW(Data_Cleaning!$G$2:$G$251)-ROW(Data_Cleaning!$G$2)+1),2)),"")</f>
        <v>Joseph Jackson</v>
      </c>
      <c r="Z9" s="7" t="str">
        <f t="array" ref="Z9">IFERROR(INDEX(Data_Cleaning!$F$2:$F$251,SMALL(IF(Data_Cleaning!$G$2:$G$251=$X5,ROW(Data_Cleaning!$G$2:$G$251)-ROW(Data_Cleaning!$G$2)+1),2)),"")</f>
        <v>Monitor</v>
      </c>
      <c r="AA9" s="9">
        <f t="array" ref="AA9">IFERROR(INDEX(Data_Cleaning!$N$2:$N$251,SMALL(IF(Data_Cleaning!$G$2:$G$251=$X5,ROW(Data_Cleaning!$G$2:$G$251)-ROW(Data_Cleaning!$G$2)+1),2)),"")</f>
        <v>749.97</v>
      </c>
    </row>
    <row r="10" spans="1:28" ht="15" customHeight="1" x14ac:dyDescent="0.35">
      <c r="A10" s="7" t="s">
        <v>190</v>
      </c>
      <c r="B10" s="7" t="str">
        <f>INDEX(Data_Cleaning!$D$2:$D$251,MATCH(A10,Data_Cleaning!$C$2:$C$251,0))</f>
        <v>David Martinez</v>
      </c>
      <c r="C10" s="8">
        <f>INDEX(Data_Cleaning!$M$2:$M$251,MATCH(A10,Data_Cleaning!$C$2:$C$251,0))</f>
        <v>44981</v>
      </c>
      <c r="D10" s="7">
        <f t="shared" ca="1" si="0"/>
        <v>3</v>
      </c>
      <c r="E10" s="9">
        <f>SUMIFS(Data_Cleaning!$N$2:$N$251,Data_Cleaning!$C$2:$C$251,A10)</f>
        <v>1809.84</v>
      </c>
      <c r="F10" s="7">
        <f>COUNTIFS(Data_Cleaning!$C$2:$C$251,A10)</f>
        <v>6</v>
      </c>
      <c r="G10" s="9">
        <f t="shared" si="1"/>
        <v>301.64</v>
      </c>
      <c r="H10" s="7">
        <f t="shared" si="2"/>
        <v>39</v>
      </c>
      <c r="I10" s="7" t="str">
        <f t="shared" si="3"/>
        <v>Standard</v>
      </c>
      <c r="J10" s="7" t="str">
        <f>IF(COUNTIFS(Data_Cleaning!$C$2:$C$251,A10,Data_Cleaning!$F$2:$F$251,"Laptop")&gt;0,"Yes","No")</f>
        <v>No</v>
      </c>
      <c r="K10" s="7" t="str">
        <f>IF(AND(COUNTIFS(Data_Cleaning!$C$2:$C$251,A10,Data_Cleaning!$L$2:$L$251,"Premium")&gt;0,J10="Yes"),B10,"")</f>
        <v/>
      </c>
      <c r="L10" s="7" t="str">
        <f t="shared" si="4"/>
        <v>DAV-007</v>
      </c>
      <c r="O10" s="7" t="s">
        <v>46</v>
      </c>
      <c r="P10" s="7" t="s">
        <v>47</v>
      </c>
      <c r="Q10" s="7">
        <f>SUMIFS(Data_Cleaning!$H$2:$H$251,Data_Cleaning!$E$2:$E$251,O10)</f>
        <v>87</v>
      </c>
      <c r="R10" s="7">
        <f>COUNTIFS(Data_Cleaning!$E$2:$E$251,O10)</f>
        <v>29</v>
      </c>
      <c r="S10" s="9">
        <f>SUMIFS(Data_Cleaning!$N$2:$N$251,Data_Cleaning!$E$2:$E$251,O10)</f>
        <v>5219.1299999999974</v>
      </c>
      <c r="T10" s="7" t="str">
        <f t="shared" si="5"/>
        <v>BBLE</v>
      </c>
      <c r="W10" s="7" t="str">
        <f t="array" ref="W10">IFERROR(INDEX(Data_Cleaning!$A$2:$A$251,SMALL(IF(Data_Cleaning!$G$2:$G$251=$X5,ROW(Data_Cleaning!$G$2:$G$251)-ROW(Data_Cleaning!$G$2)+1),3)),"")</f>
        <v>TRX0193</v>
      </c>
      <c r="X10" s="8">
        <f t="array" ref="X10">IFERROR(INDEX(Data_Cleaning!$B$2:$B$251,SMALL(IF(Data_Cleaning!$G$2:$G$251=$X5,ROW(Data_Cleaning!$G$2:$G$251)-ROW(Data_Cleaning!$G$2)+1),3)),"")</f>
        <v>45403</v>
      </c>
      <c r="Y10" s="7" t="str">
        <f t="array" ref="Y10">IFERROR(INDEX(Data_Cleaning!$D$2:$D$251,SMALL(IF(Data_Cleaning!$G$2:$G$251=$X5,ROW(Data_Cleaning!$G$2:$G$251)-ROW(Data_Cleaning!$G$2)+1),3)),"")</f>
        <v>Dorothy Nelson</v>
      </c>
      <c r="Z10" s="7" t="str">
        <f t="array" ref="Z10">IFERROR(INDEX(Data_Cleaning!$F$2:$F$251,SMALL(IF(Data_Cleaning!$G$2:$G$251=$X5,ROW(Data_Cleaning!$G$2:$G$251)-ROW(Data_Cleaning!$G$2)+1),3)),"")</f>
        <v>Headphones</v>
      </c>
      <c r="AA10" s="9">
        <f t="array" ref="AA10">IFERROR(INDEX(Data_Cleaning!$N$2:$N$251,SMALL(IF(Data_Cleaning!$G$2:$G$251=$X5,ROW(Data_Cleaning!$G$2:$G$251)-ROW(Data_Cleaning!$G$2)+1),3)),"")</f>
        <v>749.95</v>
      </c>
    </row>
    <row r="11" spans="1:28" ht="15" customHeight="1" x14ac:dyDescent="0.35">
      <c r="A11" s="7" t="s">
        <v>149</v>
      </c>
      <c r="B11" s="7" t="str">
        <f>INDEX(Data_Cleaning!$D$2:$D$251,MATCH(A11,Data_Cleaning!$C$2:$C$251,0))</f>
        <v>Jennifer Taylor</v>
      </c>
      <c r="C11" s="8">
        <f>INDEX(Data_Cleaning!$M$2:$M$251,MATCH(A11,Data_Cleaning!$C$2:$C$251,0))</f>
        <v>44407</v>
      </c>
      <c r="D11" s="7">
        <f t="shared" ca="1" si="0"/>
        <v>5</v>
      </c>
      <c r="E11" s="9">
        <f>SUMIFS(Data_Cleaning!$N$2:$N$251,Data_Cleaning!$C$2:$C$251,A11)</f>
        <v>4739.8500000000004</v>
      </c>
      <c r="F11" s="7">
        <f>COUNTIFS(Data_Cleaning!$C$2:$C$251,A11)</f>
        <v>4</v>
      </c>
      <c r="G11" s="9">
        <f t="shared" si="1"/>
        <v>1184.9625000000001</v>
      </c>
      <c r="H11" s="7">
        <f t="shared" si="2"/>
        <v>24</v>
      </c>
      <c r="I11" s="7" t="str">
        <f t="shared" si="3"/>
        <v>Standard</v>
      </c>
      <c r="J11" s="7" t="str">
        <f>IF(COUNTIFS(Data_Cleaning!$C$2:$C$251,A11,Data_Cleaning!$F$2:$F$251,"Laptop")&gt;0,"Yes","No")</f>
        <v>No</v>
      </c>
      <c r="K11" s="7" t="str">
        <f>IF(AND(COUNTIFS(Data_Cleaning!$C$2:$C$251,A11,Data_Cleaning!$L$2:$L$251,"Premium")&gt;0,J11="Yes"),B11,"")</f>
        <v/>
      </c>
      <c r="L11" s="7" t="str">
        <f t="shared" si="4"/>
        <v>JEN-008</v>
      </c>
      <c r="O11" s="7" t="s">
        <v>134</v>
      </c>
      <c r="P11" s="7" t="s">
        <v>135</v>
      </c>
      <c r="Q11" s="7">
        <f>SUMIFS(Data_Cleaning!$H$2:$H$251,Data_Cleaning!$E$2:$E$251,O11)</f>
        <v>52</v>
      </c>
      <c r="R11" s="7">
        <f>COUNTIFS(Data_Cleaning!$E$2:$E$251,O11)</f>
        <v>15</v>
      </c>
      <c r="S11" s="9">
        <f>SUMIFS(Data_Cleaning!$N$2:$N$251,Data_Cleaning!$E$2:$E$251,O11)</f>
        <v>10399.479999999998</v>
      </c>
      <c r="T11" s="7" t="str">
        <f t="shared" si="5"/>
        <v>OOFF</v>
      </c>
      <c r="W11" s="7" t="str">
        <f t="array" ref="W11">IFERROR(INDEX(Data_Cleaning!$A$2:$A$251,SMALL(IF(Data_Cleaning!$G$2:$G$251=$X5,ROW(Data_Cleaning!$G$2:$G$251)-ROW(Data_Cleaning!$G$2)+1),4)),"")</f>
        <v>TRX0135</v>
      </c>
      <c r="X11" s="8">
        <f t="array" ref="X11">IFERROR(INDEX(Data_Cleaning!$B$2:$B$251,SMALL(IF(Data_Cleaning!$G$2:$G$251=$X5,ROW(Data_Cleaning!$G$2:$G$251)-ROW(Data_Cleaning!$G$2)+1),4)),"")</f>
        <v>45405</v>
      </c>
      <c r="Y11" s="7" t="str">
        <f t="array" ref="Y11">IFERROR(INDEX(Data_Cleaning!$D$2:$D$251,SMALL(IF(Data_Cleaning!$G$2:$G$251=$X5,ROW(Data_Cleaning!$G$2:$G$251)-ROW(Data_Cleaning!$G$2)+1),4)),"")</f>
        <v>Robert Thomas</v>
      </c>
      <c r="Z11" s="7" t="str">
        <f t="array" ref="Z11">IFERROR(INDEX(Data_Cleaning!$F$2:$F$251,SMALL(IF(Data_Cleaning!$G$2:$G$251=$X5,ROW(Data_Cleaning!$G$2:$G$251)-ROW(Data_Cleaning!$G$2)+1),4)),"")</f>
        <v>Laptop</v>
      </c>
      <c r="AA11" s="9">
        <f t="array" ref="AA11">IFERROR(INDEX(Data_Cleaning!$N$2:$N$251,SMALL(IF(Data_Cleaning!$G$2:$G$251=$X5,ROW(Data_Cleaning!$G$2:$G$251)-ROW(Data_Cleaning!$G$2)+1),4)),"")</f>
        <v>2699.97</v>
      </c>
    </row>
    <row r="12" spans="1:28" ht="15" customHeight="1" x14ac:dyDescent="0.35">
      <c r="A12" s="7" t="s">
        <v>68</v>
      </c>
      <c r="B12" s="7" t="str">
        <f>INDEX(Data_Cleaning!$D$2:$D$251,MATCH(A12,Data_Cleaning!$C$2:$C$251,0))</f>
        <v>Robert Thomas</v>
      </c>
      <c r="C12" s="8">
        <f>INDEX(Data_Cleaning!$M$2:$M$251,MATCH(A12,Data_Cleaning!$C$2:$C$251,0))</f>
        <v>45299</v>
      </c>
      <c r="D12" s="7">
        <f t="shared" ca="1" si="0"/>
        <v>2</v>
      </c>
      <c r="E12" s="9">
        <f>SUMIFS(Data_Cleaning!$N$2:$N$251,Data_Cleaning!$C$2:$C$251,A12)</f>
        <v>3509.8999999999996</v>
      </c>
      <c r="F12" s="7">
        <f>COUNTIFS(Data_Cleaning!$C$2:$C$251,A12)</f>
        <v>5</v>
      </c>
      <c r="G12" s="9">
        <f t="shared" si="1"/>
        <v>701.9799999999999</v>
      </c>
      <c r="H12" s="7">
        <f t="shared" si="2"/>
        <v>32</v>
      </c>
      <c r="I12" s="7" t="str">
        <f t="shared" si="3"/>
        <v>Standard</v>
      </c>
      <c r="J12" s="7" t="str">
        <f>IF(COUNTIFS(Data_Cleaning!$C$2:$C$251,A12,Data_Cleaning!$F$2:$F$251,"Laptop")&gt;0,"Yes","No")</f>
        <v>Yes</v>
      </c>
      <c r="K12" s="7" t="str">
        <f>IF(AND(COUNTIFS(Data_Cleaning!$C$2:$C$251,A12,Data_Cleaning!$L$2:$L$251,"Premium")&gt;0,J12="Yes"),B12,"")</f>
        <v>Robert Thomas</v>
      </c>
      <c r="L12" s="7" t="str">
        <f t="shared" si="4"/>
        <v>ROB-009</v>
      </c>
      <c r="O12" s="7" t="s">
        <v>113</v>
      </c>
      <c r="P12" s="7" t="s">
        <v>114</v>
      </c>
      <c r="Q12" s="7">
        <f>SUMIFS(Data_Cleaning!$H$2:$H$251,Data_Cleaning!$E$2:$E$251,O12)</f>
        <v>78</v>
      </c>
      <c r="R12" s="7">
        <f>COUNTIFS(Data_Cleaning!$E$2:$E$251,O12)</f>
        <v>26</v>
      </c>
      <c r="S12" s="9">
        <f>SUMIFS(Data_Cleaning!$N$2:$N$251,Data_Cleaning!$E$2:$E$251,O12)</f>
        <v>23399.22</v>
      </c>
      <c r="T12" s="7" t="str">
        <f t="shared" si="5"/>
        <v>DDES</v>
      </c>
      <c r="W12" s="7" t="str">
        <f t="array" ref="W12">IFERROR(INDEX(Data_Cleaning!$A$2:$A$251,SMALL(IF(Data_Cleaning!$G$2:$G$251=$X5,ROW(Data_Cleaning!$G$2:$G$251)-ROW(Data_Cleaning!$G$2)+1),5)),"")</f>
        <v>TRX0191</v>
      </c>
      <c r="X12" s="8">
        <f t="array" ref="X12">IFERROR(INDEX(Data_Cleaning!$B$2:$B$251,SMALL(IF(Data_Cleaning!$G$2:$G$251=$X5,ROW(Data_Cleaning!$G$2:$G$251)-ROW(Data_Cleaning!$G$2)+1),5)),"")</f>
        <v>45409</v>
      </c>
      <c r="Y12" s="7" t="str">
        <f t="array" ref="Y12">IFERROR(INDEX(Data_Cleaning!$D$2:$D$251,SMALL(IF(Data_Cleaning!$G$2:$G$251=$X5,ROW(Data_Cleaning!$G$2:$G$251)-ROW(Data_Cleaning!$G$2)+1),5)),"")</f>
        <v>Michelle Rogers</v>
      </c>
      <c r="Z12" s="7" t="str">
        <f t="array" ref="Z12">IFERROR(INDEX(Data_Cleaning!$F$2:$F$251,SMALL(IF(Data_Cleaning!$G$2:$G$251=$X5,ROW(Data_Cleaning!$G$2:$G$251)-ROW(Data_Cleaning!$G$2)+1),5)),"")</f>
        <v>Smartphone</v>
      </c>
      <c r="AA12" s="9">
        <f t="array" ref="AA12">IFERROR(INDEX(Data_Cleaning!$N$2:$N$251,SMALL(IF(Data_Cleaning!$G$2:$G$251=$X5,ROW(Data_Cleaning!$G$2:$G$251)-ROW(Data_Cleaning!$G$2)+1),5)),"")</f>
        <v>2099.9699999999998</v>
      </c>
    </row>
    <row r="13" spans="1:28" ht="15" customHeight="1" x14ac:dyDescent="0.35">
      <c r="A13" s="7" t="s">
        <v>97</v>
      </c>
      <c r="B13" s="7" t="str">
        <f>INDEX(Data_Cleaning!$D$2:$D$251,MATCH(A13,Data_Cleaning!$C$2:$C$251,0))</f>
        <v>Maria Garcia</v>
      </c>
      <c r="C13" s="8">
        <f>INDEX(Data_Cleaning!$M$2:$M$251,MATCH(A13,Data_Cleaning!$C$2:$C$251,0))</f>
        <v>44781</v>
      </c>
      <c r="D13" s="7">
        <f t="shared" ca="1" si="0"/>
        <v>4</v>
      </c>
      <c r="E13" s="9">
        <f>SUMIFS(Data_Cleaning!$N$2:$N$251,Data_Cleaning!$C$2:$C$251,A13)</f>
        <v>1909.93</v>
      </c>
      <c r="F13" s="7">
        <f>COUNTIFS(Data_Cleaning!$C$2:$C$251,A13)</f>
        <v>4</v>
      </c>
      <c r="G13" s="9">
        <f t="shared" si="1"/>
        <v>477.48250000000002</v>
      </c>
      <c r="H13" s="7">
        <f t="shared" si="2"/>
        <v>38</v>
      </c>
      <c r="I13" s="7" t="str">
        <f t="shared" si="3"/>
        <v>Standard</v>
      </c>
      <c r="J13" s="7" t="str">
        <f>IF(COUNTIFS(Data_Cleaning!$C$2:$C$251,A13,Data_Cleaning!$F$2:$F$251,"Laptop")&gt;0,"Yes","No")</f>
        <v>No</v>
      </c>
      <c r="K13" s="7" t="str">
        <f>IF(AND(COUNTIFS(Data_Cleaning!$C$2:$C$251,A13,Data_Cleaning!$L$2:$L$251,"Premium")&gt;0,J13="Yes"),B13,"")</f>
        <v/>
      </c>
      <c r="L13" s="7" t="str">
        <f t="shared" si="4"/>
        <v>MAR-010</v>
      </c>
      <c r="O13" s="7" t="s">
        <v>55</v>
      </c>
      <c r="P13" s="7" t="s">
        <v>56</v>
      </c>
      <c r="Q13" s="7">
        <f>SUMIFS(Data_Cleaning!$H$2:$H$251,Data_Cleaning!$E$2:$E$251,O13)</f>
        <v>102</v>
      </c>
      <c r="R13" s="7">
        <f>COUNTIFS(Data_Cleaning!$E$2:$E$251,O13)</f>
        <v>35</v>
      </c>
      <c r="S13" s="9">
        <f>SUMIFS(Data_Cleaning!$N$2:$N$251,Data_Cleaning!$E$2:$E$251,O13)</f>
        <v>15298.979999999994</v>
      </c>
      <c r="T13" s="7" t="str">
        <f t="shared" si="5"/>
        <v>BBOO</v>
      </c>
      <c r="W13" s="7" t="str">
        <f t="array" ref="W13">IFERROR(INDEX(Data_Cleaning!$A$2:$A$251,SMALL(IF(Data_Cleaning!$G$2:$G$251=$X5,ROW(Data_Cleaning!$G$2:$G$251)-ROW(Data_Cleaning!$G$2)+1),6)),"")</f>
        <v>TRX0230</v>
      </c>
      <c r="X13" s="8">
        <f t="array" ref="X13">IFERROR(INDEX(Data_Cleaning!$B$2:$B$251,SMALL(IF(Data_Cleaning!$G$2:$G$251=$X5,ROW(Data_Cleaning!$G$2:$G$251)-ROW(Data_Cleaning!$G$2)+1),6)),"")</f>
        <v>45409</v>
      </c>
      <c r="Y13" s="7" t="str">
        <f t="array" ref="Y13">IFERROR(INDEX(Data_Cleaning!$D$2:$D$251,SMALL(IF(Data_Cleaning!$G$2:$G$251=$X5,ROW(Data_Cleaning!$G$2:$G$251)-ROW(Data_Cleaning!$G$2)+1),6)),"")</f>
        <v>George Adams</v>
      </c>
      <c r="Z13" s="7" t="str">
        <f t="array" ref="Z13">IFERROR(INDEX(Data_Cleaning!$F$2:$F$251,SMALL(IF(Data_Cleaning!$G$2:$G$251=$X5,ROW(Data_Cleaning!$G$2:$G$251)-ROW(Data_Cleaning!$G$2)+1),6)),"")</f>
        <v>Laptop</v>
      </c>
      <c r="AA13" s="9">
        <f t="array" ref="AA13">IFERROR(INDEX(Data_Cleaning!$N$2:$N$251,SMALL(IF(Data_Cleaning!$G$2:$G$251=$X5,ROW(Data_Cleaning!$G$2:$G$251)-ROW(Data_Cleaning!$G$2)+1),6)),"")</f>
        <v>899.99</v>
      </c>
    </row>
    <row r="14" spans="1:28" ht="15" customHeight="1" x14ac:dyDescent="0.35">
      <c r="A14" s="7" t="s">
        <v>260</v>
      </c>
      <c r="B14" s="7" t="str">
        <f>INDEX(Data_Cleaning!$D$2:$D$251,MATCH(A14,Data_Cleaning!$C$2:$C$251,0))</f>
        <v>William White</v>
      </c>
      <c r="C14" s="8">
        <f>INDEX(Data_Cleaning!$M$2:$M$251,MATCH(A14,Data_Cleaning!$C$2:$C$251,0))</f>
        <v>44482</v>
      </c>
      <c r="D14" s="7">
        <f t="shared" ca="1" si="0"/>
        <v>4</v>
      </c>
      <c r="E14" s="9">
        <f>SUMIFS(Data_Cleaning!$N$2:$N$251,Data_Cleaning!$C$2:$C$251,A14)</f>
        <v>4749.91</v>
      </c>
      <c r="F14" s="7">
        <f>COUNTIFS(Data_Cleaning!$C$2:$C$251,A14)</f>
        <v>3</v>
      </c>
      <c r="G14" s="9">
        <f t="shared" si="1"/>
        <v>1583.3033333333333</v>
      </c>
      <c r="H14" s="7">
        <f t="shared" si="2"/>
        <v>23</v>
      </c>
      <c r="I14" s="7" t="str">
        <f t="shared" si="3"/>
        <v>Standard</v>
      </c>
      <c r="J14" s="7" t="str">
        <f>IF(COUNTIFS(Data_Cleaning!$C$2:$C$251,A14,Data_Cleaning!$F$2:$F$251,"Laptop")&gt;0,"Yes","No")</f>
        <v>Yes</v>
      </c>
      <c r="K14" s="7" t="str">
        <f>IF(AND(COUNTIFS(Data_Cleaning!$C$2:$C$251,A14,Data_Cleaning!$L$2:$L$251,"Premium")&gt;0,J14="Yes"),B14,"")</f>
        <v>William White</v>
      </c>
      <c r="L14" s="7" t="str">
        <f t="shared" si="4"/>
        <v>WIL-011</v>
      </c>
      <c r="O14" s="7" t="s">
        <v>36</v>
      </c>
      <c r="P14" s="7" t="s">
        <v>37</v>
      </c>
      <c r="Q14" s="7">
        <f>SUMIFS(Data_Cleaning!$H$2:$H$251,Data_Cleaning!$E$2:$E$251,O14)</f>
        <v>88</v>
      </c>
      <c r="R14" s="7">
        <f>COUNTIFS(Data_Cleaning!$E$2:$E$251,O14)</f>
        <v>26</v>
      </c>
      <c r="S14" s="9">
        <f>SUMIFS(Data_Cleaning!$N$2:$N$251,Data_Cleaning!$E$2:$E$251,O14)</f>
        <v>21999.119999999999</v>
      </c>
      <c r="T14" s="7" t="str">
        <f t="shared" si="5"/>
        <v>MMON</v>
      </c>
      <c r="W14" s="7" t="str">
        <f t="array" ref="W14">IFERROR(INDEX(Data_Cleaning!$A$2:$A$251,SMALL(IF(Data_Cleaning!$G$2:$G$251=$X5,ROW(Data_Cleaning!$G$2:$G$251)-ROW(Data_Cleaning!$G$2)+1),7)),"")</f>
        <v>TRX0134</v>
      </c>
      <c r="X14" s="8">
        <f t="array" ref="X14">IFERROR(INDEX(Data_Cleaning!$B$2:$B$251,SMALL(IF(Data_Cleaning!$G$2:$G$251=$X5,ROW(Data_Cleaning!$G$2:$G$251)-ROW(Data_Cleaning!$G$2)+1),7)),"")</f>
        <v>45410</v>
      </c>
      <c r="Y14" s="7" t="str">
        <f t="array" ref="Y14">IFERROR(INDEX(Data_Cleaning!$D$2:$D$251,SMALL(IF(Data_Cleaning!$G$2:$G$251=$X5,ROW(Data_Cleaning!$G$2:$G$251)-ROW(Data_Cleaning!$G$2)+1),7)),"")</f>
        <v>Maria Garcia</v>
      </c>
      <c r="Z14" s="7" t="str">
        <f t="array" ref="Z14">IFERROR(INDEX(Data_Cleaning!$F$2:$F$251,SMALL(IF(Data_Cleaning!$G$2:$G$251=$X5,ROW(Data_Cleaning!$G$2:$G$251)-ROW(Data_Cleaning!$G$2)+1),7)),"")</f>
        <v>Smartphone</v>
      </c>
      <c r="AA14" s="9">
        <f t="array" ref="AA14">IFERROR(INDEX(Data_Cleaning!$N$2:$N$251,SMALL(IF(Data_Cleaning!$G$2:$G$251=$X5,ROW(Data_Cleaning!$G$2:$G$251)-ROW(Data_Cleaning!$G$2)+1),7)),"")</f>
        <v>1399.98</v>
      </c>
    </row>
    <row r="15" spans="1:28" ht="15" customHeight="1" x14ac:dyDescent="0.35">
      <c r="A15" s="7" t="s">
        <v>107</v>
      </c>
      <c r="B15" s="7" t="str">
        <f>INDEX(Data_Cleaning!$D$2:$D$251,MATCH(A15,Data_Cleaning!$C$2:$C$251,0))</f>
        <v>Patricia Moore</v>
      </c>
      <c r="C15" s="8">
        <f>INDEX(Data_Cleaning!$M$2:$M$251,MATCH(A15,Data_Cleaning!$C$2:$C$251,0))</f>
        <v>44409</v>
      </c>
      <c r="D15" s="7">
        <f t="shared" ca="1" si="0"/>
        <v>5</v>
      </c>
      <c r="E15" s="9">
        <f>SUMIFS(Data_Cleaning!$N$2:$N$251,Data_Cleaning!$C$2:$C$251,A15)</f>
        <v>9799.73</v>
      </c>
      <c r="F15" s="7">
        <f>COUNTIFS(Data_Cleaning!$C$2:$C$251,A15)</f>
        <v>8</v>
      </c>
      <c r="G15" s="9">
        <f t="shared" si="1"/>
        <v>1224.9662499999999</v>
      </c>
      <c r="H15" s="7">
        <f t="shared" si="2"/>
        <v>4</v>
      </c>
      <c r="I15" s="7" t="str">
        <f t="shared" si="3"/>
        <v>High Value</v>
      </c>
      <c r="J15" s="7" t="str">
        <f>IF(COUNTIFS(Data_Cleaning!$C$2:$C$251,A15,Data_Cleaning!$F$2:$F$251,"Laptop")&gt;0,"Yes","No")</f>
        <v>Yes</v>
      </c>
      <c r="K15" s="7" t="str">
        <f>IF(AND(COUNTIFS(Data_Cleaning!$C$2:$C$251,A15,Data_Cleaning!$L$2:$L$251,"Premium")&gt;0,J15="Yes"),B15,"")</f>
        <v>Patricia Moore</v>
      </c>
      <c r="L15" s="7" t="str">
        <f t="shared" si="4"/>
        <v>PAT-012</v>
      </c>
      <c r="O15" s="7" t="s">
        <v>125</v>
      </c>
      <c r="P15" s="7" t="s">
        <v>126</v>
      </c>
      <c r="Q15" s="7">
        <f>SUMIFS(Data_Cleaning!$H$2:$H$251,Data_Cleaning!$E$2:$E$251,O15)</f>
        <v>89</v>
      </c>
      <c r="R15" s="7">
        <f>COUNTIFS(Data_Cleaning!$E$2:$E$251,O15)</f>
        <v>34</v>
      </c>
      <c r="S15" s="9">
        <f>SUMIFS(Data_Cleaning!$N$2:$N$251,Data_Cleaning!$E$2:$E$251,O15)</f>
        <v>8009.1099999999969</v>
      </c>
      <c r="T15" s="7" t="str">
        <f t="shared" si="5"/>
        <v>KKEY</v>
      </c>
      <c r="W15" s="7" t="str">
        <f t="array" ref="W15">IFERROR(INDEX(Data_Cleaning!$A$2:$A$251,SMALL(IF(Data_Cleaning!$G$2:$G$251=$X5,ROW(Data_Cleaning!$G$2:$G$251)-ROW(Data_Cleaning!$G$2)+1),8)),"")</f>
        <v>TRX0122</v>
      </c>
      <c r="X15" s="8">
        <f t="array" ref="X15">IFERROR(INDEX(Data_Cleaning!$B$2:$B$251,SMALL(IF(Data_Cleaning!$G$2:$G$251=$X5,ROW(Data_Cleaning!$G$2:$G$251)-ROW(Data_Cleaning!$G$2)+1),8)),"")</f>
        <v>45410</v>
      </c>
      <c r="Y15" s="7" t="str">
        <f t="array" ref="Y15">IFERROR(INDEX(Data_Cleaning!$D$2:$D$251,SMALL(IF(Data_Cleaning!$G$2:$G$251=$X5,ROW(Data_Cleaning!$G$2:$G$251)-ROW(Data_Cleaning!$G$2)+1),8)),"")</f>
        <v>Mark Carter</v>
      </c>
      <c r="Z15" s="7" t="str">
        <f t="array" ref="Z15">IFERROR(INDEX(Data_Cleaning!$F$2:$F$251,SMALL(IF(Data_Cleaning!$G$2:$G$251=$X5,ROW(Data_Cleaning!$G$2:$G$251)-ROW(Data_Cleaning!$G$2)+1),8)),"")</f>
        <v>Laptop</v>
      </c>
      <c r="AA15" s="9">
        <f t="array" ref="AA15">IFERROR(INDEX(Data_Cleaning!$N$2:$N$251,SMALL(IF(Data_Cleaning!$G$2:$G$251=$X5,ROW(Data_Cleaning!$G$2:$G$251)-ROW(Data_Cleaning!$G$2)+1),8)),"")</f>
        <v>3599.96</v>
      </c>
    </row>
    <row r="16" spans="1:28" ht="15" customHeight="1" x14ac:dyDescent="0.35">
      <c r="A16" s="7" t="s">
        <v>40</v>
      </c>
      <c r="B16" s="7" t="str">
        <f>INDEX(Data_Cleaning!$D$2:$D$251,MATCH(A16,Data_Cleaning!$C$2:$C$251,0))</f>
        <v>Joseph Jackson</v>
      </c>
      <c r="C16" s="8">
        <f>INDEX(Data_Cleaning!$M$2:$M$251,MATCH(A16,Data_Cleaning!$C$2:$C$251,0))</f>
        <v>44575</v>
      </c>
      <c r="D16" s="7">
        <f t="shared" ca="1" si="0"/>
        <v>4</v>
      </c>
      <c r="E16" s="9">
        <f>SUMIFS(Data_Cleaning!$N$2:$N$251,Data_Cleaning!$C$2:$C$251,A16)</f>
        <v>6949.84</v>
      </c>
      <c r="F16" s="7">
        <f>COUNTIFS(Data_Cleaning!$C$2:$C$251,A16)</f>
        <v>5</v>
      </c>
      <c r="G16" s="9">
        <f t="shared" si="1"/>
        <v>1389.9680000000001</v>
      </c>
      <c r="H16" s="7">
        <f t="shared" si="2"/>
        <v>10</v>
      </c>
      <c r="I16" s="7" t="str">
        <f t="shared" si="3"/>
        <v>High Value</v>
      </c>
      <c r="J16" s="7" t="str">
        <f>IF(COUNTIFS(Data_Cleaning!$C$2:$C$251,A16,Data_Cleaning!$F$2:$F$251,"Laptop")&gt;0,"Yes","No")</f>
        <v>Yes</v>
      </c>
      <c r="K16" s="7" t="str">
        <f>IF(AND(COUNTIFS(Data_Cleaning!$C$2:$C$251,A16,Data_Cleaning!$L$2:$L$251,"Premium")&gt;0,J16="Yes"),B16,"")</f>
        <v>Joseph Jackson</v>
      </c>
      <c r="L16" s="7" t="str">
        <f t="shared" si="4"/>
        <v>JOS-013</v>
      </c>
      <c r="O16" s="13"/>
      <c r="P16" s="13"/>
      <c r="W16" s="7" t="str">
        <f t="array" ref="W16">IFERROR(INDEX(Data_Cleaning!$A$2:$A$251,SMALL(IF(Data_Cleaning!$G$2:$G$251=$X5,ROW(Data_Cleaning!$G$2:$G$251)-ROW(Data_Cleaning!$G$2)+1),9)),"")</f>
        <v>TRX0222</v>
      </c>
      <c r="X16" s="8">
        <f t="array" ref="X16">IFERROR(INDEX(Data_Cleaning!$B$2:$B$251,SMALL(IF(Data_Cleaning!$G$2:$G$251=$X5,ROW(Data_Cleaning!$G$2:$G$251)-ROW(Data_Cleaning!$G$2)+1),9)),"")</f>
        <v>45410</v>
      </c>
      <c r="Y16" s="7" t="str">
        <f t="array" ref="Y16">IFERROR(INDEX(Data_Cleaning!$D$2:$D$251,SMALL(IF(Data_Cleaning!$G$2:$G$251=$X5,ROW(Data_Cleaning!$G$2:$G$251)-ROW(Data_Cleaning!$G$2)+1),9)),"")</f>
        <v>Virginia Sanders</v>
      </c>
      <c r="Z16" s="7" t="str">
        <f t="array" ref="Z16">IFERROR(INDEX(Data_Cleaning!$F$2:$F$251,SMALL(IF(Data_Cleaning!$G$2:$G$251=$X5,ROW(Data_Cleaning!$G$2:$G$251)-ROW(Data_Cleaning!$G$2)+1),9)),"")</f>
        <v>Monitor</v>
      </c>
      <c r="AA16" s="9">
        <f t="array" ref="AA16">IFERROR(INDEX(Data_Cleaning!$N$2:$N$251,SMALL(IF(Data_Cleaning!$G$2:$G$251=$X5,ROW(Data_Cleaning!$G$2:$G$251)-ROW(Data_Cleaning!$G$2)+1),9)),"")</f>
        <v>749.97</v>
      </c>
    </row>
    <row r="17" spans="1:27" ht="15" customHeight="1" x14ac:dyDescent="0.35">
      <c r="A17" s="7" t="s">
        <v>120</v>
      </c>
      <c r="B17" s="7" t="str">
        <f>INDEX(Data_Cleaning!$D$2:$D$251,MATCH(A17,Data_Cleaning!$C$2:$C$251,0))</f>
        <v>Linda Martin</v>
      </c>
      <c r="C17" s="8">
        <f>INDEX(Data_Cleaning!$M$2:$M$251,MATCH(A17,Data_Cleaning!$C$2:$C$251,0))</f>
        <v>45012</v>
      </c>
      <c r="D17" s="7">
        <f t="shared" ca="1" si="0"/>
        <v>3</v>
      </c>
      <c r="E17" s="9">
        <f>SUMIFS(Data_Cleaning!$N$2:$N$251,Data_Cleaning!$C$2:$C$251,A17)</f>
        <v>1289.9000000000001</v>
      </c>
      <c r="F17" s="7">
        <f>COUNTIFS(Data_Cleaning!$C$2:$C$251,A17)</f>
        <v>4</v>
      </c>
      <c r="G17" s="9">
        <f t="shared" si="1"/>
        <v>322.47500000000002</v>
      </c>
      <c r="H17" s="7">
        <f t="shared" si="2"/>
        <v>43</v>
      </c>
      <c r="I17" s="7" t="str">
        <f t="shared" si="3"/>
        <v>Standard</v>
      </c>
      <c r="J17" s="7" t="str">
        <f>IF(COUNTIFS(Data_Cleaning!$C$2:$C$251,A17,Data_Cleaning!$F$2:$F$251,"Laptop")&gt;0,"Yes","No")</f>
        <v>No</v>
      </c>
      <c r="K17" s="7" t="str">
        <f>IF(AND(COUNTIFS(Data_Cleaning!$C$2:$C$251,A17,Data_Cleaning!$L$2:$L$251,"Premium")&gt;0,J17="Yes"),B17,"")</f>
        <v/>
      </c>
      <c r="L17" s="7" t="str">
        <f t="shared" si="4"/>
        <v>LIN-014</v>
      </c>
      <c r="O17" s="11" t="s">
        <v>424</v>
      </c>
      <c r="P17" s="14" t="str">
        <f>INDEX(P6:P15,MATCH(MAX(Q6:Q15),Q6:Q15,0))</f>
        <v>Bookshelf</v>
      </c>
      <c r="W17" s="7" t="str">
        <f t="array" ref="W17">IFERROR(INDEX(Data_Cleaning!$A$2:$A$251,SMALL(IF(Data_Cleaning!$G$2:$G$251=$X5,ROW(Data_Cleaning!$G$2:$G$251)-ROW(Data_Cleaning!$G$2)+1),10)),"")</f>
        <v>TRX0231</v>
      </c>
      <c r="X17" s="8">
        <f t="array" ref="X17">IFERROR(INDEX(Data_Cleaning!$B$2:$B$251,SMALL(IF(Data_Cleaning!$G$2:$G$251=$X5,ROW(Data_Cleaning!$G$2:$G$251)-ROW(Data_Cleaning!$G$2)+1),10)),"")</f>
        <v>45412</v>
      </c>
      <c r="Y17" s="7" t="str">
        <f t="array" ref="Y17">IFERROR(INDEX(Data_Cleaning!$D$2:$D$251,SMALL(IF(Data_Cleaning!$G$2:$G$251=$X5,ROW(Data_Cleaning!$G$2:$G$251)-ROW(Data_Cleaning!$G$2)+1),10)),"")</f>
        <v>Barbara Young</v>
      </c>
      <c r="Z17" s="7" t="str">
        <f t="array" ref="Z17">IFERROR(INDEX(Data_Cleaning!$F$2:$F$251,SMALL(IF(Data_Cleaning!$G$2:$G$251=$X5,ROW(Data_Cleaning!$G$2:$G$251)-ROW(Data_Cleaning!$G$2)+1),10)),"")</f>
        <v>Smartphone</v>
      </c>
      <c r="AA17" s="9">
        <f t="array" ref="AA17">IFERROR(INDEX(Data_Cleaning!$N$2:$N$251,SMALL(IF(Data_Cleaning!$G$2:$G$251=$X5,ROW(Data_Cleaning!$G$2:$G$251)-ROW(Data_Cleaning!$G$2)+1),10)),"")</f>
        <v>3499.95</v>
      </c>
    </row>
    <row r="18" spans="1:27" ht="15" customHeight="1" x14ac:dyDescent="0.35">
      <c r="A18" s="7" t="s">
        <v>267</v>
      </c>
      <c r="B18" s="7" t="str">
        <f>INDEX(Data_Cleaning!$D$2:$D$251,MATCH(A18,Data_Cleaning!$C$2:$C$251,0))</f>
        <v>Richard Lee</v>
      </c>
      <c r="C18" s="8">
        <f>INDEX(Data_Cleaning!$M$2:$M$251,MATCH(A18,Data_Cleaning!$C$2:$C$251,0))</f>
        <v>44953</v>
      </c>
      <c r="D18" s="7">
        <f t="shared" ca="1" si="0"/>
        <v>3</v>
      </c>
      <c r="E18" s="9">
        <f>SUMIFS(Data_Cleaning!$N$2:$N$251,Data_Cleaning!$C$2:$C$251,A18)</f>
        <v>739.93000000000006</v>
      </c>
      <c r="F18" s="7">
        <f>COUNTIFS(Data_Cleaning!$C$2:$C$251,A18)</f>
        <v>3</v>
      </c>
      <c r="G18" s="9">
        <f t="shared" si="1"/>
        <v>246.64333333333335</v>
      </c>
      <c r="H18" s="7">
        <f t="shared" si="2"/>
        <v>46</v>
      </c>
      <c r="I18" s="7" t="str">
        <f t="shared" si="3"/>
        <v>Standard</v>
      </c>
      <c r="J18" s="7" t="str">
        <f>IF(COUNTIFS(Data_Cleaning!$C$2:$C$251,A18,Data_Cleaning!$F$2:$F$251,"Laptop")&gt;0,"Yes","No")</f>
        <v>No</v>
      </c>
      <c r="K18" s="7" t="str">
        <f>IF(AND(COUNTIFS(Data_Cleaning!$C$2:$C$251,A18,Data_Cleaning!$L$2:$L$251,"Premium")&gt;0,J18="Yes"),B18,"")</f>
        <v/>
      </c>
      <c r="L18" s="7" t="str">
        <f t="shared" si="4"/>
        <v>RIC-015</v>
      </c>
      <c r="O18" s="11" t="s">
        <v>425</v>
      </c>
      <c r="P18" s="14">
        <f>MAX(Q6:Q15)</f>
        <v>102</v>
      </c>
      <c r="W18" s="7" t="str">
        <f t="array" ref="W18">IFERROR(INDEX(Data_Cleaning!$A$2:$A$251,SMALL(IF(Data_Cleaning!$G$2:$G$251=$X5,ROW(Data_Cleaning!$G$2:$G$251)-ROW(Data_Cleaning!$G$2)+1),11)),"")</f>
        <v>TRX0239</v>
      </c>
      <c r="X18" s="8">
        <f t="array" ref="X18">IFERROR(INDEX(Data_Cleaning!$B$2:$B$251,SMALL(IF(Data_Cleaning!$G$2:$G$251=$X5,ROW(Data_Cleaning!$G$2:$G$251)-ROW(Data_Cleaning!$G$2)+1),11)),"")</f>
        <v>45413</v>
      </c>
      <c r="Y18" s="7" t="str">
        <f t="array" ref="Y18">IFERROR(INDEX(Data_Cleaning!$D$2:$D$251,SMALL(IF(Data_Cleaning!$G$2:$G$251=$X5,ROW(Data_Cleaning!$G$2:$G$251)-ROW(Data_Cleaning!$G$2)+1),11)),"")</f>
        <v>Patricia Moore</v>
      </c>
      <c r="Z18" s="7" t="str">
        <f t="array" ref="Z18">IFERROR(INDEX(Data_Cleaning!$F$2:$F$251,SMALL(IF(Data_Cleaning!$G$2:$G$251=$X5,ROW(Data_Cleaning!$G$2:$G$251)-ROW(Data_Cleaning!$G$2)+1),11)),"")</f>
        <v>Smartphone</v>
      </c>
      <c r="AA18" s="9">
        <f t="array" ref="AA18">IFERROR(INDEX(Data_Cleaning!$N$2:$N$251,SMALL(IF(Data_Cleaning!$G$2:$G$251=$X5,ROW(Data_Cleaning!$G$2:$G$251)-ROW(Data_Cleaning!$G$2)+1),11)),"")</f>
        <v>2799.96</v>
      </c>
    </row>
    <row r="19" spans="1:27" ht="15" customHeight="1" x14ac:dyDescent="0.35">
      <c r="A19" s="7" t="s">
        <v>219</v>
      </c>
      <c r="B19" s="7" t="str">
        <f>INDEX(Data_Cleaning!$D$2:$D$251,MATCH(A19,Data_Cleaning!$C$2:$C$251,0))</f>
        <v>Elizabeth Hall</v>
      </c>
      <c r="C19" s="8">
        <f>INDEX(Data_Cleaning!$M$2:$M$251,MATCH(A19,Data_Cleaning!$C$2:$C$251,0))</f>
        <v>44542</v>
      </c>
      <c r="D19" s="7">
        <f t="shared" ca="1" si="0"/>
        <v>4</v>
      </c>
      <c r="E19" s="9">
        <f>SUMIFS(Data_Cleaning!$N$2:$N$251,Data_Cleaning!$C$2:$C$251,A19)</f>
        <v>3649.8599999999997</v>
      </c>
      <c r="F19" s="7">
        <f>COUNTIFS(Data_Cleaning!$C$2:$C$251,A19)</f>
        <v>4</v>
      </c>
      <c r="G19" s="9">
        <f t="shared" si="1"/>
        <v>912.46499999999992</v>
      </c>
      <c r="H19" s="7">
        <f t="shared" si="2"/>
        <v>31</v>
      </c>
      <c r="I19" s="7" t="str">
        <f t="shared" si="3"/>
        <v>Standard</v>
      </c>
      <c r="J19" s="7" t="str">
        <f>IF(COUNTIFS(Data_Cleaning!$C$2:$C$251,A19,Data_Cleaning!$F$2:$F$251,"Laptop")&gt;0,"Yes","No")</f>
        <v>No</v>
      </c>
      <c r="K19" s="7" t="str">
        <f>IF(AND(COUNTIFS(Data_Cleaning!$C$2:$C$251,A19,Data_Cleaning!$L$2:$L$251,"Premium")&gt;0,J19="Yes"),B19,"")</f>
        <v/>
      </c>
      <c r="L19" s="7" t="str">
        <f t="shared" si="4"/>
        <v>ELI-016</v>
      </c>
      <c r="W19" s="7" t="str">
        <f t="array" ref="W19">IFERROR(INDEX(Data_Cleaning!$A$2:$A$251,SMALL(IF(Data_Cleaning!$G$2:$G$251=$X5,ROW(Data_Cleaning!$G$2:$G$251)-ROW(Data_Cleaning!$G$2)+1),12)),"")</f>
        <v>TRX0204</v>
      </c>
      <c r="X19" s="8">
        <f t="array" ref="X19">IFERROR(INDEX(Data_Cleaning!$B$2:$B$251,SMALL(IF(Data_Cleaning!$G$2:$G$251=$X5,ROW(Data_Cleaning!$G$2:$G$251)-ROW(Data_Cleaning!$G$2)+1),12)),"")</f>
        <v>45415</v>
      </c>
      <c r="Y19" s="7" t="str">
        <f t="array" ref="Y19">IFERROR(INDEX(Data_Cleaning!$D$2:$D$251,SMALL(IF(Data_Cleaning!$G$2:$G$251=$X5,ROW(Data_Cleaning!$G$2:$G$251)-ROW(Data_Cleaning!$G$2)+1),12)),"")</f>
        <v>Cynthia Price</v>
      </c>
      <c r="Z19" s="7" t="str">
        <f t="array" ref="Z19">IFERROR(INDEX(Data_Cleaning!$F$2:$F$251,SMALL(IF(Data_Cleaning!$G$2:$G$251=$X5,ROW(Data_Cleaning!$G$2:$G$251)-ROW(Data_Cleaning!$G$2)+1),12)),"")</f>
        <v>Monitor</v>
      </c>
      <c r="AA19" s="9">
        <f t="array" ref="AA19">IFERROR(INDEX(Data_Cleaning!$N$2:$N$251,SMALL(IF(Data_Cleaning!$G$2:$G$251=$X5,ROW(Data_Cleaning!$G$2:$G$251)-ROW(Data_Cleaning!$G$2)+1),12)),"")</f>
        <v>999.96</v>
      </c>
    </row>
    <row r="20" spans="1:27" ht="15" customHeight="1" x14ac:dyDescent="0.35">
      <c r="A20" s="7" t="s">
        <v>64</v>
      </c>
      <c r="B20" s="7" t="str">
        <f>INDEX(Data_Cleaning!$D$2:$D$251,MATCH(A20,Data_Cleaning!$C$2:$C$251,0))</f>
        <v>Charles Allen</v>
      </c>
      <c r="C20" s="8">
        <f>INDEX(Data_Cleaning!$M$2:$M$251,MATCH(A20,Data_Cleaning!$C$2:$C$251,0))</f>
        <v>45007</v>
      </c>
      <c r="D20" s="7">
        <f t="shared" ca="1" si="0"/>
        <v>3</v>
      </c>
      <c r="E20" s="9">
        <f>SUMIFS(Data_Cleaning!$N$2:$N$251,Data_Cleaning!$C$2:$C$251,A20)</f>
        <v>5089.7300000000005</v>
      </c>
      <c r="F20" s="7">
        <f>COUNTIFS(Data_Cleaning!$C$2:$C$251,A20)</f>
        <v>9</v>
      </c>
      <c r="G20" s="9">
        <f t="shared" si="1"/>
        <v>565.52555555555557</v>
      </c>
      <c r="H20" s="7">
        <f t="shared" si="2"/>
        <v>20</v>
      </c>
      <c r="I20" s="7" t="str">
        <f t="shared" si="3"/>
        <v>Standard</v>
      </c>
      <c r="J20" s="7" t="str">
        <f>IF(COUNTIFS(Data_Cleaning!$C$2:$C$251,A20,Data_Cleaning!$F$2:$F$251,"Laptop")&gt;0,"Yes","No")</f>
        <v>No</v>
      </c>
      <c r="K20" s="7" t="str">
        <f>IF(AND(COUNTIFS(Data_Cleaning!$C$2:$C$251,A20,Data_Cleaning!$L$2:$L$251,"Premium")&gt;0,J20="Yes"),B20,"")</f>
        <v/>
      </c>
      <c r="L20" s="7" t="str">
        <f t="shared" si="4"/>
        <v>CHA-017</v>
      </c>
      <c r="W20" s="7" t="str">
        <f t="array" ref="W20">IFERROR(INDEX(Data_Cleaning!$A$2:$A$251,SMALL(IF(Data_Cleaning!$G$2:$G$251=$X5,ROW(Data_Cleaning!$G$2:$G$251)-ROW(Data_Cleaning!$G$2)+1),13)),"")</f>
        <v>TRX0071</v>
      </c>
      <c r="X20" s="8">
        <f t="array" ref="X20">IFERROR(INDEX(Data_Cleaning!$B$2:$B$251,SMALL(IF(Data_Cleaning!$G$2:$G$251=$X5,ROW(Data_Cleaning!$G$2:$G$251)-ROW(Data_Cleaning!$G$2)+1),13)),"")</f>
        <v>45422</v>
      </c>
      <c r="Y20" s="7" t="str">
        <f t="array" ref="Y20">IFERROR(INDEX(Data_Cleaning!$D$2:$D$251,SMALL(IF(Data_Cleaning!$G$2:$G$251=$X5,ROW(Data_Cleaning!$G$2:$G$251)-ROW(Data_Cleaning!$G$2)+1),13)),"")</f>
        <v>Nancy Collins</v>
      </c>
      <c r="Z20" s="7" t="str">
        <f t="array" ref="Z20">IFERROR(INDEX(Data_Cleaning!$F$2:$F$251,SMALL(IF(Data_Cleaning!$G$2:$G$251=$X5,ROW(Data_Cleaning!$G$2:$G$251)-ROW(Data_Cleaning!$G$2)+1),13)),"")</f>
        <v>Monitor</v>
      </c>
      <c r="AA20" s="9">
        <f t="array" ref="AA20">IFERROR(INDEX(Data_Cleaning!$N$2:$N$251,SMALL(IF(Data_Cleaning!$G$2:$G$251=$X5,ROW(Data_Cleaning!$G$2:$G$251)-ROW(Data_Cleaning!$G$2)+1),13)),"")</f>
        <v>1249.95</v>
      </c>
    </row>
    <row r="21" spans="1:27" ht="15" customHeight="1" x14ac:dyDescent="0.35">
      <c r="A21" s="7" t="s">
        <v>104</v>
      </c>
      <c r="B21" s="7" t="str">
        <f>INDEX(Data_Cleaning!$D$2:$D$251,MATCH(A21,Data_Cleaning!$C$2:$C$251,0))</f>
        <v>Barbara Young</v>
      </c>
      <c r="C21" s="8">
        <f>INDEX(Data_Cleaning!$M$2:$M$251,MATCH(A21,Data_Cleaning!$C$2:$C$251,0))</f>
        <v>45167</v>
      </c>
      <c r="D21" s="7">
        <f t="shared" ca="1" si="0"/>
        <v>3</v>
      </c>
      <c r="E21" s="9">
        <f>SUMIFS(Data_Cleaning!$N$2:$N$251,Data_Cleaning!$C$2:$C$251,A21)</f>
        <v>10649.8</v>
      </c>
      <c r="F21" s="7">
        <f>COUNTIFS(Data_Cleaning!$C$2:$C$251,A21)</f>
        <v>5</v>
      </c>
      <c r="G21" s="9">
        <f t="shared" si="1"/>
        <v>2129.96</v>
      </c>
      <c r="H21" s="7">
        <f t="shared" si="2"/>
        <v>3</v>
      </c>
      <c r="I21" s="7" t="str">
        <f t="shared" si="3"/>
        <v>High Value</v>
      </c>
      <c r="J21" s="7" t="str">
        <f>IF(COUNTIFS(Data_Cleaning!$C$2:$C$251,A21,Data_Cleaning!$F$2:$F$251,"Laptop")&gt;0,"Yes","No")</f>
        <v>Yes</v>
      </c>
      <c r="K21" s="7" t="str">
        <f>IF(AND(COUNTIFS(Data_Cleaning!$C$2:$C$251,A21,Data_Cleaning!$L$2:$L$251,"Premium")&gt;0,J21="Yes"),B21,"")</f>
        <v>Barbara Young</v>
      </c>
      <c r="L21" s="7" t="str">
        <f t="shared" si="4"/>
        <v>BAR-018</v>
      </c>
      <c r="O21" s="81" t="s">
        <v>426</v>
      </c>
      <c r="P21" s="68"/>
      <c r="Q21" s="68"/>
      <c r="R21" s="68"/>
      <c r="S21" s="68"/>
      <c r="T21" s="68"/>
      <c r="W21" s="7" t="str">
        <f t="array" ref="W21">IFERROR(INDEX(Data_Cleaning!$A$2:$A$251,SMALL(IF(Data_Cleaning!$G$2:$G$251=$X5,ROW(Data_Cleaning!$G$2:$G$251)-ROW(Data_Cleaning!$G$2)+1),14)),"")</f>
        <v>TRX0004</v>
      </c>
      <c r="X21" s="8">
        <f t="array" ref="X21">IFERROR(INDEX(Data_Cleaning!$B$2:$B$251,SMALL(IF(Data_Cleaning!$G$2:$G$251=$X5,ROW(Data_Cleaning!$G$2:$G$251)-ROW(Data_Cleaning!$G$2)+1),14)),"")</f>
        <v>45424</v>
      </c>
      <c r="Y21" s="7" t="str">
        <f t="array" ref="Y21">IFERROR(INDEX(Data_Cleaning!$D$2:$D$251,SMALL(IF(Data_Cleaning!$G$2:$G$251=$X5,ROW(Data_Cleaning!$G$2:$G$251)-ROW(Data_Cleaning!$G$2)+1),14)),"")</f>
        <v>Patricia Moore</v>
      </c>
      <c r="Z21" s="7" t="str">
        <f t="array" ref="Z21">IFERROR(INDEX(Data_Cleaning!$F$2:$F$251,SMALL(IF(Data_Cleaning!$G$2:$G$251=$X5,ROW(Data_Cleaning!$G$2:$G$251)-ROW(Data_Cleaning!$G$2)+1),14)),"")</f>
        <v>Keyboard</v>
      </c>
      <c r="AA21" s="9">
        <f t="array" ref="AA21">IFERROR(INDEX(Data_Cleaning!$N$2:$N$251,SMALL(IF(Data_Cleaning!$G$2:$G$251=$X5,ROW(Data_Cleaning!$G$2:$G$251)-ROW(Data_Cleaning!$G$2)+1),14)),"")</f>
        <v>449.95</v>
      </c>
    </row>
    <row r="22" spans="1:27" ht="15" customHeight="1" x14ac:dyDescent="0.35">
      <c r="A22" s="7" t="s">
        <v>155</v>
      </c>
      <c r="B22" s="7" t="str">
        <f>INDEX(Data_Cleaning!$D$2:$D$251,MATCH(A22,Data_Cleaning!$C$2:$C$251,0))</f>
        <v>Daniel King</v>
      </c>
      <c r="C22" s="8">
        <f>INDEX(Data_Cleaning!$M$2:$M$251,MATCH(A22,Data_Cleaning!$C$2:$C$251,0))</f>
        <v>44917</v>
      </c>
      <c r="D22" s="7">
        <f t="shared" ca="1" si="0"/>
        <v>3</v>
      </c>
      <c r="E22" s="9">
        <f>SUMIFS(Data_Cleaning!$N$2:$N$251,Data_Cleaning!$C$2:$C$251,A22)</f>
        <v>7309.7999999999993</v>
      </c>
      <c r="F22" s="7">
        <f>COUNTIFS(Data_Cleaning!$C$2:$C$251,A22)</f>
        <v>7</v>
      </c>
      <c r="G22" s="9">
        <f t="shared" si="1"/>
        <v>1044.2571428571428</v>
      </c>
      <c r="H22" s="7">
        <f t="shared" si="2"/>
        <v>8</v>
      </c>
      <c r="I22" s="7" t="str">
        <f t="shared" si="3"/>
        <v>High Value</v>
      </c>
      <c r="J22" s="7" t="str">
        <f>IF(COUNTIFS(Data_Cleaning!$C$2:$C$251,A22,Data_Cleaning!$F$2:$F$251,"Laptop")&gt;0,"Yes","No")</f>
        <v>Yes</v>
      </c>
      <c r="K22" s="7" t="str">
        <f>IF(AND(COUNTIFS(Data_Cleaning!$C$2:$C$251,A22,Data_Cleaning!$L$2:$L$251,"Premium")&gt;0,J22="Yes"),B22,"")</f>
        <v>Daniel King</v>
      </c>
      <c r="L22" s="7" t="str">
        <f t="shared" si="4"/>
        <v>DAN-019</v>
      </c>
      <c r="W22" s="7" t="str">
        <f t="array" ref="W22">IFERROR(INDEX(Data_Cleaning!$A$2:$A$251,SMALL(IF(Data_Cleaning!$G$2:$G$251=$X5,ROW(Data_Cleaning!$G$2:$G$251)-ROW(Data_Cleaning!$G$2)+1),15)),"")</f>
        <v>TRX0041</v>
      </c>
      <c r="X22" s="8">
        <f t="array" ref="X22">IFERROR(INDEX(Data_Cleaning!$B$2:$B$251,SMALL(IF(Data_Cleaning!$G$2:$G$251=$X5,ROW(Data_Cleaning!$G$2:$G$251)-ROW(Data_Cleaning!$G$2)+1),15)),"")</f>
        <v>45432</v>
      </c>
      <c r="Y22" s="7" t="str">
        <f t="array" ref="Y22">IFERROR(INDEX(Data_Cleaning!$D$2:$D$251,SMALL(IF(Data_Cleaning!$G$2:$G$251=$X5,ROW(Data_Cleaning!$G$2:$G$251)-ROW(Data_Cleaning!$G$2)+1),15)),"")</f>
        <v>Kevin Scott</v>
      </c>
      <c r="Z22" s="7" t="str">
        <f t="array" ref="Z22">IFERROR(INDEX(Data_Cleaning!$F$2:$F$251,SMALL(IF(Data_Cleaning!$G$2:$G$251=$X5,ROW(Data_Cleaning!$G$2:$G$251)-ROW(Data_Cleaning!$G$2)+1),15)),"")</f>
        <v>Laptop</v>
      </c>
      <c r="AA22" s="9">
        <f t="array" ref="AA22">IFERROR(INDEX(Data_Cleaning!$N$2:$N$251,SMALL(IF(Data_Cleaning!$G$2:$G$251=$X5,ROW(Data_Cleaning!$G$2:$G$251)-ROW(Data_Cleaning!$G$2)+1),15)),"")</f>
        <v>899.99</v>
      </c>
    </row>
    <row r="23" spans="1:27" ht="15" customHeight="1" x14ac:dyDescent="0.35">
      <c r="A23" s="7" t="s">
        <v>193</v>
      </c>
      <c r="B23" s="7" t="str">
        <f>INDEX(Data_Cleaning!$D$2:$D$251,MATCH(A23,Data_Cleaning!$C$2:$C$251,0))</f>
        <v>Margaret Wright</v>
      </c>
      <c r="C23" s="8">
        <f>INDEX(Data_Cleaning!$M$2:$M$251,MATCH(A23,Data_Cleaning!$C$2:$C$251,0))</f>
        <v>44421</v>
      </c>
      <c r="D23" s="7">
        <f t="shared" ca="1" si="0"/>
        <v>5</v>
      </c>
      <c r="E23" s="9">
        <f>SUMIFS(Data_Cleaning!$N$2:$N$251,Data_Cleaning!$C$2:$C$251,A23)</f>
        <v>2099.88</v>
      </c>
      <c r="F23" s="7">
        <f>COUNTIFS(Data_Cleaning!$C$2:$C$251,A23)</f>
        <v>4</v>
      </c>
      <c r="G23" s="9">
        <f t="shared" si="1"/>
        <v>524.97</v>
      </c>
      <c r="H23" s="7">
        <f t="shared" si="2"/>
        <v>35</v>
      </c>
      <c r="I23" s="7" t="str">
        <f t="shared" si="3"/>
        <v>Standard</v>
      </c>
      <c r="J23" s="7" t="str">
        <f>IF(COUNTIFS(Data_Cleaning!$C$2:$C$251,A23,Data_Cleaning!$F$2:$F$251,"Laptop")&gt;0,"Yes","No")</f>
        <v>No</v>
      </c>
      <c r="K23" s="7" t="str">
        <f>IF(AND(COUNTIFS(Data_Cleaning!$C$2:$C$251,A23,Data_Cleaning!$L$2:$L$251,"Premium")&gt;0,J23="Yes"),B23,"")</f>
        <v/>
      </c>
      <c r="L23" s="7" t="str">
        <f t="shared" si="4"/>
        <v>MAR-020</v>
      </c>
      <c r="O23" s="10" t="s">
        <v>427</v>
      </c>
      <c r="P23" s="10" t="s">
        <v>428</v>
      </c>
      <c r="Q23" s="10" t="s">
        <v>429</v>
      </c>
      <c r="R23" s="10" t="s">
        <v>430</v>
      </c>
      <c r="W23" s="7" t="str">
        <f t="array" ref="W23">IFERROR(INDEX(Data_Cleaning!$A$2:$A$251,SMALL(IF(Data_Cleaning!$G$2:$G$251=$X5,ROW(Data_Cleaning!$G$2:$G$251)-ROW(Data_Cleaning!$G$2)+1),16)),"")</f>
        <v>TRX0015</v>
      </c>
      <c r="X23" s="8">
        <f t="array" ref="X23">IFERROR(INDEX(Data_Cleaning!$B$2:$B$251,SMALL(IF(Data_Cleaning!$G$2:$G$251=$X5,ROW(Data_Cleaning!$G$2:$G$251)-ROW(Data_Cleaning!$G$2)+1),16)),"")</f>
        <v>45440</v>
      </c>
      <c r="Y23" s="7" t="str">
        <f t="array" ref="Y23">IFERROR(INDEX(Data_Cleaning!$D$2:$D$251,SMALL(IF(Data_Cleaning!$G$2:$G$251=$X5,ROW(Data_Cleaning!$G$2:$G$251)-ROW(Data_Cleaning!$G$2)+1),16)),"")</f>
        <v>Jennifer Taylor</v>
      </c>
      <c r="Z23" s="7" t="str">
        <f t="array" ref="Z23">IFERROR(INDEX(Data_Cleaning!$F$2:$F$251,SMALL(IF(Data_Cleaning!$G$2:$G$251=$X5,ROW(Data_Cleaning!$G$2:$G$251)-ROW(Data_Cleaning!$G$2)+1),16)),"")</f>
        <v>Smartphone</v>
      </c>
      <c r="AA23" s="9">
        <f t="array" ref="AA23">IFERROR(INDEX(Data_Cleaning!$N$2:$N$251,SMALL(IF(Data_Cleaning!$G$2:$G$251=$X5,ROW(Data_Cleaning!$G$2:$G$251)-ROW(Data_Cleaning!$G$2)+1),16)),"")</f>
        <v>3499.95</v>
      </c>
    </row>
    <row r="24" spans="1:27" ht="15" customHeight="1" x14ac:dyDescent="0.35">
      <c r="A24" s="7" t="s">
        <v>44</v>
      </c>
      <c r="B24" s="7" t="str">
        <f>INDEX(Data_Cleaning!$D$2:$D$251,MATCH(A24,Data_Cleaning!$C$2:$C$251,0))</f>
        <v>Kevin Scott</v>
      </c>
      <c r="C24" s="8">
        <f>INDEX(Data_Cleaning!$M$2:$M$251,MATCH(A24,Data_Cleaning!$C$2:$C$251,0))</f>
        <v>45262</v>
      </c>
      <c r="D24" s="7">
        <f t="shared" ca="1" si="0"/>
        <v>2</v>
      </c>
      <c r="E24" s="9">
        <f>SUMIFS(Data_Cleaning!$N$2:$N$251,Data_Cleaning!$C$2:$C$251,A24)</f>
        <v>3259.87</v>
      </c>
      <c r="F24" s="7">
        <f>COUNTIFS(Data_Cleaning!$C$2:$C$251,A24)</f>
        <v>6</v>
      </c>
      <c r="G24" s="9">
        <f t="shared" si="1"/>
        <v>543.31166666666661</v>
      </c>
      <c r="H24" s="7">
        <f t="shared" si="2"/>
        <v>33</v>
      </c>
      <c r="I24" s="7" t="str">
        <f t="shared" si="3"/>
        <v>Standard</v>
      </c>
      <c r="J24" s="7" t="str">
        <f>IF(COUNTIFS(Data_Cleaning!$C$2:$C$251,A24,Data_Cleaning!$F$2:$F$251,"Laptop")&gt;0,"Yes","No")</f>
        <v>Yes</v>
      </c>
      <c r="K24" s="7" t="str">
        <f>IF(AND(COUNTIFS(Data_Cleaning!$C$2:$C$251,A24,Data_Cleaning!$L$2:$L$251,"Premium")&gt;0,J24="Yes"),B24,"")</f>
        <v>Kevin Scott</v>
      </c>
      <c r="L24" s="7" t="str">
        <f t="shared" si="4"/>
        <v>KEV-021</v>
      </c>
      <c r="O24" s="15">
        <f>DATE(2024,4,1)</f>
        <v>45383</v>
      </c>
      <c r="P24" s="7" t="str">
        <f t="shared" ref="P24:P36" si="6">TEXT(O24,"mmm-yy")</f>
        <v>Apr-24</v>
      </c>
      <c r="Q24" s="9">
        <f>SUMIFS(Data_Cleaning!$N$2:$N$251,Data_Cleaning!$B$2:$B$251,"&gt;="&amp;O24,Data_Cleaning!$B$2:$B$251,"&lt;"&amp;EDATE(O24,1))</f>
        <v>20919.330000000002</v>
      </c>
      <c r="R24" s="7"/>
      <c r="W24" s="7" t="str">
        <f t="array" ref="W24">IFERROR(INDEX(Data_Cleaning!$A$2:$A$251,SMALL(IF(Data_Cleaning!$G$2:$G$251=$X5,ROW(Data_Cleaning!$G$2:$G$251)-ROW(Data_Cleaning!$G$2)+1),17)),"")</f>
        <v>TRX0202</v>
      </c>
      <c r="X24" s="8">
        <f t="array" ref="X24">IFERROR(INDEX(Data_Cleaning!$B$2:$B$251,SMALL(IF(Data_Cleaning!$G$2:$G$251=$X5,ROW(Data_Cleaning!$G$2:$G$251)-ROW(Data_Cleaning!$G$2)+1),17)),"")</f>
        <v>45441</v>
      </c>
      <c r="Y24" s="7" t="str">
        <f t="array" ref="Y24">IFERROR(INDEX(Data_Cleaning!$D$2:$D$251,SMALL(IF(Data_Cleaning!$G$2:$G$251=$X5,ROW(Data_Cleaning!$G$2:$G$251)-ROW(Data_Cleaning!$G$2)+1),17)),"")</f>
        <v>Harry Morgan</v>
      </c>
      <c r="Z24" s="7" t="str">
        <f t="array" ref="Z24">IFERROR(INDEX(Data_Cleaning!$F$2:$F$251,SMALL(IF(Data_Cleaning!$G$2:$G$251=$X5,ROW(Data_Cleaning!$G$2:$G$251)-ROW(Data_Cleaning!$G$2)+1),17)),"")</f>
        <v>Keyboard</v>
      </c>
      <c r="AA24" s="9">
        <f t="array" ref="AA24">IFERROR(INDEX(Data_Cleaning!$N$2:$N$251,SMALL(IF(Data_Cleaning!$G$2:$G$251=$X5,ROW(Data_Cleaning!$G$2:$G$251)-ROW(Data_Cleaning!$G$2)+1),17)),"")</f>
        <v>269.97000000000003</v>
      </c>
    </row>
    <row r="25" spans="1:27" ht="15" customHeight="1" x14ac:dyDescent="0.35">
      <c r="A25" s="7" t="s">
        <v>76</v>
      </c>
      <c r="B25" s="7" t="str">
        <f>INDEX(Data_Cleaning!$D$2:$D$251,MATCH(A25,Data_Cleaning!$C$2:$C$251,0))</f>
        <v>Susan Green</v>
      </c>
      <c r="C25" s="8">
        <f>INDEX(Data_Cleaning!$M$2:$M$251,MATCH(A25,Data_Cleaning!$C$2:$C$251,0))</f>
        <v>45103</v>
      </c>
      <c r="D25" s="7">
        <f t="shared" ca="1" si="0"/>
        <v>3</v>
      </c>
      <c r="E25" s="9">
        <f>SUMIFS(Data_Cleaning!$N$2:$N$251,Data_Cleaning!$C$2:$C$251,A25)</f>
        <v>1979.89</v>
      </c>
      <c r="F25" s="7">
        <f>COUNTIFS(Data_Cleaning!$C$2:$C$251,A25)</f>
        <v>4</v>
      </c>
      <c r="G25" s="9">
        <f t="shared" si="1"/>
        <v>494.97250000000003</v>
      </c>
      <c r="H25" s="7">
        <f t="shared" si="2"/>
        <v>37</v>
      </c>
      <c r="I25" s="7" t="str">
        <f t="shared" si="3"/>
        <v>Standard</v>
      </c>
      <c r="J25" s="7" t="str">
        <f>IF(COUNTIFS(Data_Cleaning!$C$2:$C$251,A25,Data_Cleaning!$F$2:$F$251,"Laptop")&gt;0,"Yes","No")</f>
        <v>No</v>
      </c>
      <c r="K25" s="7" t="str">
        <f>IF(AND(COUNTIFS(Data_Cleaning!$C$2:$C$251,A25,Data_Cleaning!$L$2:$L$251,"Premium")&gt;0,J25="Yes"),B25,"")</f>
        <v/>
      </c>
      <c r="L25" s="7" t="str">
        <f t="shared" si="4"/>
        <v>SUS-022</v>
      </c>
      <c r="O25" s="15">
        <f>DATE(2024,5,1)</f>
        <v>45413</v>
      </c>
      <c r="P25" s="7" t="str">
        <f t="shared" si="6"/>
        <v>May-24</v>
      </c>
      <c r="Q25" s="9">
        <f>SUMIFS(Data_Cleaning!$N$2:$N$251,Data_Cleaning!$B$2:$B$251,"&gt;="&amp;O25,Data_Cleaning!$B$2:$B$251,"&lt;"&amp;EDATE(O25,1))</f>
        <v>17039.349999999999</v>
      </c>
      <c r="R25" s="16">
        <f t="shared" ref="R25:R36" si="7">IFERROR((Q25-Q24)/Q24,"")</f>
        <v>-0.18547343533468819</v>
      </c>
      <c r="W25" s="7" t="str">
        <f t="array" ref="W25">IFERROR(INDEX(Data_Cleaning!$A$2:$A$251,SMALL(IF(Data_Cleaning!$G$2:$G$251=$X5,ROW(Data_Cleaning!$G$2:$G$251)-ROW(Data_Cleaning!$G$2)+1),18)),"")</f>
        <v>TRX0117</v>
      </c>
      <c r="X25" s="8">
        <f t="array" ref="X25">IFERROR(INDEX(Data_Cleaning!$B$2:$B$251,SMALL(IF(Data_Cleaning!$G$2:$G$251=$X5,ROW(Data_Cleaning!$G$2:$G$251)-ROW(Data_Cleaning!$G$2)+1),18)),"")</f>
        <v>45444</v>
      </c>
      <c r="Y25" s="7" t="str">
        <f t="array" ref="Y25">IFERROR(INDEX(Data_Cleaning!$D$2:$D$251,SMALL(IF(Data_Cleaning!$G$2:$G$251=$X5,ROW(Data_Cleaning!$G$2:$G$251)-ROW(Data_Cleaning!$G$2)+1),18)),"")</f>
        <v>Charles Allen</v>
      </c>
      <c r="Z25" s="7" t="str">
        <f t="array" ref="Z25">IFERROR(INDEX(Data_Cleaning!$F$2:$F$251,SMALL(IF(Data_Cleaning!$G$2:$G$251=$X5,ROW(Data_Cleaning!$G$2:$G$251)-ROW(Data_Cleaning!$G$2)+1),18)),"")</f>
        <v>Keyboard</v>
      </c>
      <c r="AA25" s="9">
        <f t="array" ref="AA25">IFERROR(INDEX(Data_Cleaning!$N$2:$N$251,SMALL(IF(Data_Cleaning!$G$2:$G$251=$X5,ROW(Data_Cleaning!$G$2:$G$251)-ROW(Data_Cleaning!$G$2)+1),18)),"")</f>
        <v>89.99</v>
      </c>
    </row>
    <row r="26" spans="1:27" ht="15" customHeight="1" x14ac:dyDescent="0.35">
      <c r="A26" s="7" t="s">
        <v>34</v>
      </c>
      <c r="B26" s="7" t="str">
        <f>INDEX(Data_Cleaning!$D$2:$D$251,MATCH(A26,Data_Cleaning!$C$2:$C$251,0))</f>
        <v>Paul Baker</v>
      </c>
      <c r="C26" s="8">
        <f>INDEX(Data_Cleaning!$M$2:$M$251,MATCH(A26,Data_Cleaning!$C$2:$C$251,0))</f>
        <v>44425</v>
      </c>
      <c r="D26" s="7">
        <f t="shared" ca="1" si="0"/>
        <v>5</v>
      </c>
      <c r="E26" s="9">
        <f>SUMIFS(Data_Cleaning!$N$2:$N$251,Data_Cleaning!$C$2:$C$251,A26)</f>
        <v>8309.739999999998</v>
      </c>
      <c r="F26" s="7">
        <f>COUNTIFS(Data_Cleaning!$C$2:$C$251,A26)</f>
        <v>8</v>
      </c>
      <c r="G26" s="9">
        <f t="shared" si="1"/>
        <v>1038.7174999999997</v>
      </c>
      <c r="H26" s="7">
        <f t="shared" si="2"/>
        <v>5</v>
      </c>
      <c r="I26" s="7" t="str">
        <f t="shared" si="3"/>
        <v>High Value</v>
      </c>
      <c r="J26" s="7" t="str">
        <f>IF(COUNTIFS(Data_Cleaning!$C$2:$C$251,A26,Data_Cleaning!$F$2:$F$251,"Laptop")&gt;0,"Yes","No")</f>
        <v>Yes</v>
      </c>
      <c r="K26" s="7" t="str">
        <f>IF(AND(COUNTIFS(Data_Cleaning!$C$2:$C$251,A26,Data_Cleaning!$L$2:$L$251,"Premium")&gt;0,J26="Yes"),B26,"")</f>
        <v>Paul Baker</v>
      </c>
      <c r="L26" s="7" t="str">
        <f t="shared" si="4"/>
        <v>PAU-023</v>
      </c>
      <c r="O26" s="15">
        <f>DATE(2024,6,1)</f>
        <v>45444</v>
      </c>
      <c r="P26" s="7" t="str">
        <f t="shared" si="6"/>
        <v>Jun-24</v>
      </c>
      <c r="Q26" s="9">
        <f>SUMIFS(Data_Cleaning!$N$2:$N$251,Data_Cleaning!$B$2:$B$251,"&gt;="&amp;O26,Data_Cleaning!$B$2:$B$251,"&lt;"&amp;EDATE(O26,1))</f>
        <v>19299.45</v>
      </c>
      <c r="R26" s="16">
        <f t="shared" si="7"/>
        <v>0.1326400361516139</v>
      </c>
      <c r="W26" s="7" t="str">
        <f t="array" ref="W26">IFERROR(INDEX(Data_Cleaning!$A$2:$A$251,SMALL(IF(Data_Cleaning!$G$2:$G$251=$X5,ROW(Data_Cleaning!$G$2:$G$251)-ROW(Data_Cleaning!$G$2)+1),19)),"")</f>
        <v>TRX0208</v>
      </c>
      <c r="X26" s="8">
        <f t="array" ref="X26">IFERROR(INDEX(Data_Cleaning!$B$2:$B$251,SMALL(IF(Data_Cleaning!$G$2:$G$251=$X5,ROW(Data_Cleaning!$G$2:$G$251)-ROW(Data_Cleaning!$G$2)+1),19)),"")</f>
        <v>45446</v>
      </c>
      <c r="Y26" s="7" t="str">
        <f t="array" ref="Y26">IFERROR(INDEX(Data_Cleaning!$D$2:$D$251,SMALL(IF(Data_Cleaning!$G$2:$G$251=$X5,ROW(Data_Cleaning!$G$2:$G$251)-ROW(Data_Cleaning!$G$2)+1),19)),"")</f>
        <v>Sarah Davis</v>
      </c>
      <c r="Z26" s="7" t="str">
        <f t="array" ref="Z26">IFERROR(INDEX(Data_Cleaning!$F$2:$F$251,SMALL(IF(Data_Cleaning!$G$2:$G$251=$X5,ROW(Data_Cleaning!$G$2:$G$251)-ROW(Data_Cleaning!$G$2)+1),19)),"")</f>
        <v>Keyboard</v>
      </c>
      <c r="AA26" s="9">
        <f t="array" ref="AA26">IFERROR(INDEX(Data_Cleaning!$N$2:$N$251,SMALL(IF(Data_Cleaning!$G$2:$G$251=$X5,ROW(Data_Cleaning!$G$2:$G$251)-ROW(Data_Cleaning!$G$2)+1),19)),"")</f>
        <v>449.95</v>
      </c>
    </row>
    <row r="27" spans="1:27" ht="15" customHeight="1" x14ac:dyDescent="0.35">
      <c r="A27" s="7" t="s">
        <v>58</v>
      </c>
      <c r="B27" s="7" t="str">
        <f>INDEX(Data_Cleaning!$D$2:$D$251,MATCH(A27,Data_Cleaning!$C$2:$C$251,0))</f>
        <v>Dorothy Nelson</v>
      </c>
      <c r="C27" s="8">
        <f>INDEX(Data_Cleaning!$M$2:$M$251,MATCH(A27,Data_Cleaning!$C$2:$C$251,0))</f>
        <v>44746</v>
      </c>
      <c r="D27" s="7">
        <f t="shared" ca="1" si="0"/>
        <v>4</v>
      </c>
      <c r="E27" s="9">
        <f>SUMIFS(Data_Cleaning!$N$2:$N$251,Data_Cleaning!$C$2:$C$251,A27)</f>
        <v>8269.7900000000009</v>
      </c>
      <c r="F27" s="7">
        <f>COUNTIFS(Data_Cleaning!$C$2:$C$251,A27)</f>
        <v>6</v>
      </c>
      <c r="G27" s="9">
        <f t="shared" si="1"/>
        <v>1378.2983333333334</v>
      </c>
      <c r="H27" s="7">
        <f t="shared" si="2"/>
        <v>6</v>
      </c>
      <c r="I27" s="7" t="str">
        <f t="shared" si="3"/>
        <v>High Value</v>
      </c>
      <c r="J27" s="7" t="str">
        <f>IF(COUNTIFS(Data_Cleaning!$C$2:$C$251,A27,Data_Cleaning!$F$2:$F$251,"Laptop")&gt;0,"Yes","No")</f>
        <v>Yes</v>
      </c>
      <c r="K27" s="7" t="str">
        <f>IF(AND(COUNTIFS(Data_Cleaning!$C$2:$C$251,A27,Data_Cleaning!$L$2:$L$251,"Premium")&gt;0,J27="Yes"),B27,"")</f>
        <v>Dorothy Nelson</v>
      </c>
      <c r="L27" s="7" t="str">
        <f t="shared" si="4"/>
        <v>DOR-024</v>
      </c>
      <c r="O27" s="15">
        <f>DATE(2024,7,1)</f>
        <v>45474</v>
      </c>
      <c r="P27" s="7" t="str">
        <f t="shared" si="6"/>
        <v>Jul-24</v>
      </c>
      <c r="Q27" s="9">
        <f>SUMIFS(Data_Cleaning!$N$2:$N$251,Data_Cleaning!$B$2:$B$251,"&gt;="&amp;O27,Data_Cleaning!$B$2:$B$251,"&lt;"&amp;EDATE(O27,1))</f>
        <v>18479.399999999994</v>
      </c>
      <c r="R27" s="16">
        <f t="shared" si="7"/>
        <v>-4.2490848184793172E-2</v>
      </c>
      <c r="W27" s="7" t="str">
        <f t="array" ref="W27">IFERROR(INDEX(Data_Cleaning!$A$2:$A$251,SMALL(IF(Data_Cleaning!$G$2:$G$251=$X5,ROW(Data_Cleaning!$G$2:$G$251)-ROW(Data_Cleaning!$G$2)+1),20)),"")</f>
        <v>TRX0234</v>
      </c>
      <c r="X27" s="8">
        <f t="array" ref="X27">IFERROR(INDEX(Data_Cleaning!$B$2:$B$251,SMALL(IF(Data_Cleaning!$G$2:$G$251=$X5,ROW(Data_Cleaning!$G$2:$G$251)-ROW(Data_Cleaning!$G$2)+1),20)),"")</f>
        <v>45449</v>
      </c>
      <c r="Y27" s="7" t="str">
        <f t="array" ref="Y27">IFERROR(INDEX(Data_Cleaning!$D$2:$D$251,SMALL(IF(Data_Cleaning!$G$2:$G$251=$X5,ROW(Data_Cleaning!$G$2:$G$251)-ROW(Data_Cleaning!$G$2)+1),20)),"")</f>
        <v>Joseph Jackson</v>
      </c>
      <c r="Z27" s="7" t="str">
        <f t="array" ref="Z27">IFERROR(INDEX(Data_Cleaning!$F$2:$F$251,SMALL(IF(Data_Cleaning!$G$2:$G$251=$X5,ROW(Data_Cleaning!$G$2:$G$251)-ROW(Data_Cleaning!$G$2)+1),20)),"")</f>
        <v>Monitor</v>
      </c>
      <c r="AA27" s="9">
        <f t="array" ref="AA27">IFERROR(INDEX(Data_Cleaning!$N$2:$N$251,SMALL(IF(Data_Cleaning!$G$2:$G$251=$X5,ROW(Data_Cleaning!$G$2:$G$251)-ROW(Data_Cleaning!$G$2)+1),20)),"")</f>
        <v>1249.95</v>
      </c>
    </row>
    <row r="28" spans="1:27" ht="15" customHeight="1" x14ac:dyDescent="0.35">
      <c r="A28" s="7" t="s">
        <v>94</v>
      </c>
      <c r="B28" s="7" t="str">
        <f>INDEX(Data_Cleaning!$D$2:$D$251,MATCH(A28,Data_Cleaning!$C$2:$C$251,0))</f>
        <v>Mark Carter</v>
      </c>
      <c r="C28" s="8">
        <f>INDEX(Data_Cleaning!$M$2:$M$251,MATCH(A28,Data_Cleaning!$C$2:$C$251,0))</f>
        <v>45374</v>
      </c>
      <c r="D28" s="7">
        <f t="shared" ca="1" si="0"/>
        <v>2</v>
      </c>
      <c r="E28" s="9">
        <f>SUMIFS(Data_Cleaning!$N$2:$N$251,Data_Cleaning!$C$2:$C$251,A28)</f>
        <v>15659.65</v>
      </c>
      <c r="F28" s="7">
        <f>COUNTIFS(Data_Cleaning!$C$2:$C$251,A28)</f>
        <v>12</v>
      </c>
      <c r="G28" s="9">
        <f t="shared" si="1"/>
        <v>1304.9708333333333</v>
      </c>
      <c r="H28" s="7">
        <f t="shared" si="2"/>
        <v>1</v>
      </c>
      <c r="I28" s="7" t="str">
        <f t="shared" si="3"/>
        <v>High Value</v>
      </c>
      <c r="J28" s="7" t="str">
        <f>IF(COUNTIFS(Data_Cleaning!$C$2:$C$251,A28,Data_Cleaning!$F$2:$F$251,"Laptop")&gt;0,"Yes","No")</f>
        <v>Yes</v>
      </c>
      <c r="K28" s="7" t="str">
        <f>IF(AND(COUNTIFS(Data_Cleaning!$C$2:$C$251,A28,Data_Cleaning!$L$2:$L$251,"Premium")&gt;0,J28="Yes"),B28,"")</f>
        <v>Mark Carter</v>
      </c>
      <c r="L28" s="7" t="str">
        <f t="shared" si="4"/>
        <v>MAR-025</v>
      </c>
      <c r="O28" s="15">
        <f>DATE(2024,8,1)</f>
        <v>45505</v>
      </c>
      <c r="P28" s="7" t="str">
        <f t="shared" si="6"/>
        <v>Aug-24</v>
      </c>
      <c r="Q28" s="9">
        <f>SUMIFS(Data_Cleaning!$N$2:$N$251,Data_Cleaning!$B$2:$B$251,"&gt;="&amp;O28,Data_Cleaning!$B$2:$B$251,"&lt;"&amp;EDATE(O28,1))</f>
        <v>15759.429999999997</v>
      </c>
      <c r="R28" s="16">
        <f t="shared" si="7"/>
        <v>-0.14718930268298747</v>
      </c>
      <c r="W28" s="7" t="str">
        <f t="array" ref="W28">IFERROR(INDEX(Data_Cleaning!$A$2:$A$251,SMALL(IF(Data_Cleaning!$G$2:$G$251=$X5,ROW(Data_Cleaning!$G$2:$G$251)-ROW(Data_Cleaning!$G$2)+1),21)),"")</f>
        <v>TRX0121</v>
      </c>
      <c r="X28" s="8">
        <f t="array" ref="X28">IFERROR(INDEX(Data_Cleaning!$B$2:$B$251,SMALL(IF(Data_Cleaning!$G$2:$G$251=$X5,ROW(Data_Cleaning!$G$2:$G$251)-ROW(Data_Cleaning!$G$2)+1),21)),"")</f>
        <v>45449</v>
      </c>
      <c r="Y28" s="7" t="str">
        <f t="array" ref="Y28">IFERROR(INDEX(Data_Cleaning!$D$2:$D$251,SMALL(IF(Data_Cleaning!$G$2:$G$251=$X5,ROW(Data_Cleaning!$G$2:$G$251)-ROW(Data_Cleaning!$G$2)+1),21)),"")</f>
        <v>Betty Campbell</v>
      </c>
      <c r="Z28" s="7" t="str">
        <f t="array" ref="Z28">IFERROR(INDEX(Data_Cleaning!$F$2:$F$251,SMALL(IF(Data_Cleaning!$G$2:$G$251=$X5,ROW(Data_Cleaning!$G$2:$G$251)-ROW(Data_Cleaning!$G$2)+1),21)),"")</f>
        <v>Keyboard</v>
      </c>
      <c r="AA28" s="9">
        <f t="array" ref="AA28">IFERROR(INDEX(Data_Cleaning!$N$2:$N$251,SMALL(IF(Data_Cleaning!$G$2:$G$251=$X5,ROW(Data_Cleaning!$G$2:$G$251)-ROW(Data_Cleaning!$G$2)+1),21)),"")</f>
        <v>89.99</v>
      </c>
    </row>
    <row r="29" spans="1:27" ht="15" customHeight="1" x14ac:dyDescent="0.35">
      <c r="A29" s="7" t="s">
        <v>73</v>
      </c>
      <c r="B29" s="7" t="str">
        <f>INDEX(Data_Cleaning!$D$2:$D$251,MATCH(A29,Data_Cleaning!$C$2:$C$251,0))</f>
        <v>Karen Hill</v>
      </c>
      <c r="C29" s="8">
        <f>INDEX(Data_Cleaning!$M$2:$M$251,MATCH(A29,Data_Cleaning!$C$2:$C$251,0))</f>
        <v>45207</v>
      </c>
      <c r="D29" s="7">
        <f t="shared" ca="1" si="0"/>
        <v>2</v>
      </c>
      <c r="E29" s="9">
        <f>SUMIFS(Data_Cleaning!$N$2:$N$251,Data_Cleaning!$C$2:$C$251,A29)</f>
        <v>8009.7699999999995</v>
      </c>
      <c r="F29" s="7">
        <f>COUNTIFS(Data_Cleaning!$C$2:$C$251,A29)</f>
        <v>8</v>
      </c>
      <c r="G29" s="9">
        <f t="shared" si="1"/>
        <v>1001.2212499999999</v>
      </c>
      <c r="H29" s="7">
        <f t="shared" si="2"/>
        <v>7</v>
      </c>
      <c r="I29" s="7" t="str">
        <f t="shared" si="3"/>
        <v>High Value</v>
      </c>
      <c r="J29" s="7" t="str">
        <f>IF(COUNTIFS(Data_Cleaning!$C$2:$C$251,A29,Data_Cleaning!$F$2:$F$251,"Laptop")&gt;0,"Yes","No")</f>
        <v>No</v>
      </c>
      <c r="K29" s="7" t="str">
        <f>IF(AND(COUNTIFS(Data_Cleaning!$C$2:$C$251,A29,Data_Cleaning!$L$2:$L$251,"Premium")&gt;0,J29="Yes"),B29,"")</f>
        <v/>
      </c>
      <c r="L29" s="7" t="str">
        <f t="shared" si="4"/>
        <v>KAR-026</v>
      </c>
      <c r="O29" s="15">
        <f>DATE(2024,9,1)</f>
        <v>45536</v>
      </c>
      <c r="P29" s="7" t="str">
        <f t="shared" si="6"/>
        <v>Sep-24</v>
      </c>
      <c r="Q29" s="9">
        <f>SUMIFS(Data_Cleaning!$N$2:$N$251,Data_Cleaning!$B$2:$B$251,"&gt;="&amp;O29,Data_Cleaning!$B$2:$B$251,"&lt;"&amp;EDATE(O29,1))</f>
        <v>12989.509999999997</v>
      </c>
      <c r="R29" s="16">
        <f t="shared" si="7"/>
        <v>-0.17576270207742289</v>
      </c>
      <c r="W29" s="7" t="str">
        <f t="array" ref="W29">IFERROR(INDEX(Data_Cleaning!$A$2:$A$251,SMALL(IF(Data_Cleaning!$G$2:$G$251=$X5,ROW(Data_Cleaning!$G$2:$G$251)-ROW(Data_Cleaning!$G$2)+1),22)),"")</f>
        <v>TRX0088</v>
      </c>
      <c r="X29" s="8">
        <f t="array" ref="X29">IFERROR(INDEX(Data_Cleaning!$B$2:$B$251,SMALL(IF(Data_Cleaning!$G$2:$G$251=$X5,ROW(Data_Cleaning!$G$2:$G$251)-ROW(Data_Cleaning!$G$2)+1),22)),"")</f>
        <v>45456</v>
      </c>
      <c r="Y29" s="7" t="str">
        <f t="array" ref="Y29">IFERROR(INDEX(Data_Cleaning!$D$2:$D$251,SMALL(IF(Data_Cleaning!$G$2:$G$251=$X5,ROW(Data_Cleaning!$G$2:$G$251)-ROW(Data_Cleaning!$G$2)+1),22)),"")</f>
        <v>Lisa Anderson</v>
      </c>
      <c r="Z29" s="7" t="str">
        <f t="array" ref="Z29">IFERROR(INDEX(Data_Cleaning!$F$2:$F$251,SMALL(IF(Data_Cleaning!$G$2:$G$251=$X5,ROW(Data_Cleaning!$G$2:$G$251)-ROW(Data_Cleaning!$G$2)+1),22)),"")</f>
        <v>Keyboard</v>
      </c>
      <c r="AA29" s="9">
        <f t="array" ref="AA29">IFERROR(INDEX(Data_Cleaning!$N$2:$N$251,SMALL(IF(Data_Cleaning!$G$2:$G$251=$X5,ROW(Data_Cleaning!$G$2:$G$251)-ROW(Data_Cleaning!$G$2)+1),22)),"")</f>
        <v>449.95</v>
      </c>
    </row>
    <row r="30" spans="1:27" ht="15" customHeight="1" x14ac:dyDescent="0.35">
      <c r="A30" s="7" t="s">
        <v>91</v>
      </c>
      <c r="B30" s="7" t="str">
        <f>INDEX(Data_Cleaning!$D$2:$D$251,MATCH(A30,Data_Cleaning!$C$2:$C$251,0))</f>
        <v>George Adams</v>
      </c>
      <c r="C30" s="8">
        <f>INDEX(Data_Cleaning!$M$2:$M$251,MATCH(A30,Data_Cleaning!$C$2:$C$251,0))</f>
        <v>44920</v>
      </c>
      <c r="D30" s="7">
        <f t="shared" ca="1" si="0"/>
        <v>3</v>
      </c>
      <c r="E30" s="9">
        <f>SUMIFS(Data_Cleaning!$N$2:$N$251,Data_Cleaning!$C$2:$C$251,A30)</f>
        <v>3779.93</v>
      </c>
      <c r="F30" s="7">
        <f>COUNTIFS(Data_Cleaning!$C$2:$C$251,A30)</f>
        <v>3</v>
      </c>
      <c r="G30" s="9">
        <f t="shared" si="1"/>
        <v>1259.9766666666667</v>
      </c>
      <c r="H30" s="7">
        <f t="shared" si="2"/>
        <v>28</v>
      </c>
      <c r="I30" s="7" t="str">
        <f t="shared" si="3"/>
        <v>Standard</v>
      </c>
      <c r="J30" s="7" t="str">
        <f>IF(COUNTIFS(Data_Cleaning!$C$2:$C$251,A30,Data_Cleaning!$F$2:$F$251,"Laptop")&gt;0,"Yes","No")</f>
        <v>Yes</v>
      </c>
      <c r="K30" s="7" t="str">
        <f>IF(AND(COUNTIFS(Data_Cleaning!$C$2:$C$251,A30,Data_Cleaning!$L$2:$L$251,"Premium")&gt;0,J30="Yes"),B30,"")</f>
        <v/>
      </c>
      <c r="L30" s="7" t="str">
        <f t="shared" si="4"/>
        <v>GEO-027</v>
      </c>
      <c r="O30" s="15">
        <f>DATE(2024,10,1)</f>
        <v>45566</v>
      </c>
      <c r="P30" s="7" t="str">
        <f t="shared" si="6"/>
        <v>Oct-24</v>
      </c>
      <c r="Q30" s="9">
        <f>SUMIFS(Data_Cleaning!$N$2:$N$251,Data_Cleaning!$B$2:$B$251,"&gt;="&amp;O30,Data_Cleaning!$B$2:$B$251,"&lt;"&amp;EDATE(O30,1))</f>
        <v>20609.52</v>
      </c>
      <c r="R30" s="16">
        <f t="shared" si="7"/>
        <v>0.58662797903847075</v>
      </c>
      <c r="W30" s="7" t="str">
        <f t="array" ref="W30">IFERROR(INDEX(Data_Cleaning!$A$2:$A$251,SMALL(IF(Data_Cleaning!$G$2:$G$251=$X5,ROW(Data_Cleaning!$G$2:$G$251)-ROW(Data_Cleaning!$G$2)+1),23)),"")</f>
        <v>TRX0115</v>
      </c>
      <c r="X30" s="8">
        <f t="array" ref="X30">IFERROR(INDEX(Data_Cleaning!$B$2:$B$251,SMALL(IF(Data_Cleaning!$G$2:$G$251=$X5,ROW(Data_Cleaning!$G$2:$G$251)-ROW(Data_Cleaning!$G$2)+1),23)),"")</f>
        <v>45459</v>
      </c>
      <c r="Y30" s="7" t="str">
        <f t="array" ref="Y30">IFERROR(INDEX(Data_Cleaning!$D$2:$D$251,SMALL(IF(Data_Cleaning!$G$2:$G$251=$X5,ROW(Data_Cleaning!$G$2:$G$251)-ROW(Data_Cleaning!$G$2)+1),23)),"")</f>
        <v>Patricia Moore</v>
      </c>
      <c r="Z30" s="7" t="str">
        <f t="array" ref="Z30">IFERROR(INDEX(Data_Cleaning!$F$2:$F$251,SMALL(IF(Data_Cleaning!$G$2:$G$251=$X5,ROW(Data_Cleaning!$G$2:$G$251)-ROW(Data_Cleaning!$G$2)+1),23)),"")</f>
        <v>Keyboard</v>
      </c>
      <c r="AA30" s="9">
        <f t="array" ref="AA30">IFERROR(INDEX(Data_Cleaning!$N$2:$N$251,SMALL(IF(Data_Cleaning!$G$2:$G$251=$X5,ROW(Data_Cleaning!$G$2:$G$251)-ROW(Data_Cleaning!$G$2)+1),23)),"")</f>
        <v>179.98</v>
      </c>
    </row>
    <row r="31" spans="1:27" ht="15" customHeight="1" x14ac:dyDescent="0.35">
      <c r="A31" s="7" t="s">
        <v>166</v>
      </c>
      <c r="B31" s="7" t="str">
        <f>INDEX(Data_Cleaning!$D$2:$D$251,MATCH(A31,Data_Cleaning!$C$2:$C$251,0))</f>
        <v>Betty Campbell</v>
      </c>
      <c r="C31" s="8">
        <f>INDEX(Data_Cleaning!$M$2:$M$251,MATCH(A31,Data_Cleaning!$C$2:$C$251,0))</f>
        <v>44582</v>
      </c>
      <c r="D31" s="7">
        <f t="shared" ca="1" si="0"/>
        <v>4</v>
      </c>
      <c r="E31" s="9">
        <f>SUMIFS(Data_Cleaning!$N$2:$N$251,Data_Cleaning!$C$2:$C$251,A31)</f>
        <v>5649.84</v>
      </c>
      <c r="F31" s="7">
        <f>COUNTIFS(Data_Cleaning!$C$2:$C$251,A31)</f>
        <v>5</v>
      </c>
      <c r="G31" s="9">
        <f t="shared" si="1"/>
        <v>1129.9680000000001</v>
      </c>
      <c r="H31" s="7">
        <f t="shared" si="2"/>
        <v>16</v>
      </c>
      <c r="I31" s="7" t="str">
        <f t="shared" si="3"/>
        <v>Standard</v>
      </c>
      <c r="J31" s="7" t="str">
        <f>IF(COUNTIFS(Data_Cleaning!$C$2:$C$251,A31,Data_Cleaning!$F$2:$F$251,"Laptop")&gt;0,"Yes","No")</f>
        <v>No</v>
      </c>
      <c r="K31" s="7" t="str">
        <f>IF(AND(COUNTIFS(Data_Cleaning!$C$2:$C$251,A31,Data_Cleaning!$L$2:$L$251,"Premium")&gt;0,J31="Yes"),B31,"")</f>
        <v/>
      </c>
      <c r="L31" s="7" t="str">
        <f t="shared" si="4"/>
        <v>BET-028</v>
      </c>
      <c r="O31" s="15">
        <f>DATE(2024,11,1)</f>
        <v>45597</v>
      </c>
      <c r="P31" s="7" t="str">
        <f t="shared" si="6"/>
        <v>Nov-24</v>
      </c>
      <c r="Q31" s="9">
        <f>SUMIFS(Data_Cleaning!$N$2:$N$251,Data_Cleaning!$B$2:$B$251,"&gt;="&amp;O31,Data_Cleaning!$B$2:$B$251,"&lt;"&amp;EDATE(O31,1))</f>
        <v>12309.439999999999</v>
      </c>
      <c r="R31" s="16">
        <f t="shared" si="7"/>
        <v>-0.40273038867474842</v>
      </c>
      <c r="W31" s="7" t="str">
        <f t="array" ref="W31">IFERROR(INDEX(Data_Cleaning!$A$2:$A$251,SMALL(IF(Data_Cleaning!$G$2:$G$251=$X5,ROW(Data_Cleaning!$G$2:$G$251)-ROW(Data_Cleaning!$G$2)+1),24)),"")</f>
        <v>TRX0154</v>
      </c>
      <c r="X31" s="8">
        <f t="array" ref="X31">IFERROR(INDEX(Data_Cleaning!$B$2:$B$251,SMALL(IF(Data_Cleaning!$G$2:$G$251=$X5,ROW(Data_Cleaning!$G$2:$G$251)-ROW(Data_Cleaning!$G$2)+1),24)),"")</f>
        <v>45459</v>
      </c>
      <c r="Y31" s="7" t="str">
        <f t="array" ref="Y31">IFERROR(INDEX(Data_Cleaning!$D$2:$D$251,SMALL(IF(Data_Cleaning!$G$2:$G$251=$X5,ROW(Data_Cleaning!$G$2:$G$251)-ROW(Data_Cleaning!$G$2)+1),24)),"")</f>
        <v>Paul Baker</v>
      </c>
      <c r="Z31" s="7" t="str">
        <f t="array" ref="Z31">IFERROR(INDEX(Data_Cleaning!$F$2:$F$251,SMALL(IF(Data_Cleaning!$G$2:$G$251=$X5,ROW(Data_Cleaning!$G$2:$G$251)-ROW(Data_Cleaning!$G$2)+1),24)),"")</f>
        <v>Laptop</v>
      </c>
      <c r="AA31" s="9">
        <f t="array" ref="AA31">IFERROR(INDEX(Data_Cleaning!$N$2:$N$251,SMALL(IF(Data_Cleaning!$G$2:$G$251=$X5,ROW(Data_Cleaning!$G$2:$G$251)-ROW(Data_Cleaning!$G$2)+1),24)),"")</f>
        <v>4499.95</v>
      </c>
    </row>
    <row r="32" spans="1:27" ht="15" customHeight="1" x14ac:dyDescent="0.35">
      <c r="A32" s="7" t="s">
        <v>131</v>
      </c>
      <c r="B32" s="7" t="str">
        <f>INDEX(Data_Cleaning!$D$2:$D$251,MATCH(A32,Data_Cleaning!$C$2:$C$251,0))</f>
        <v>Edward Mitchell</v>
      </c>
      <c r="C32" s="8">
        <f>INDEX(Data_Cleaning!$M$2:$M$251,MATCH(A32,Data_Cleaning!$C$2:$C$251,0))</f>
        <v>44867</v>
      </c>
      <c r="D32" s="7">
        <f t="shared" ca="1" si="0"/>
        <v>3</v>
      </c>
      <c r="E32" s="9">
        <f>SUMIFS(Data_Cleaning!$N$2:$N$251,Data_Cleaning!$C$2:$C$251,A32)</f>
        <v>11919.769999999999</v>
      </c>
      <c r="F32" s="7">
        <f>COUNTIFS(Data_Cleaning!$C$2:$C$251,A32)</f>
        <v>6</v>
      </c>
      <c r="G32" s="9">
        <f t="shared" si="1"/>
        <v>1986.6283333333331</v>
      </c>
      <c r="H32" s="7">
        <f t="shared" si="2"/>
        <v>2</v>
      </c>
      <c r="I32" s="7" t="str">
        <f t="shared" si="3"/>
        <v>High Value</v>
      </c>
      <c r="J32" s="7" t="str">
        <f>IF(COUNTIFS(Data_Cleaning!$C$2:$C$251,A32,Data_Cleaning!$F$2:$F$251,"Laptop")&gt;0,"Yes","No")</f>
        <v>Yes</v>
      </c>
      <c r="K32" s="7" t="str">
        <f>IF(AND(COUNTIFS(Data_Cleaning!$C$2:$C$251,A32,Data_Cleaning!$L$2:$L$251,"Premium")&gt;0,J32="Yes"),B32,"")</f>
        <v>Edward Mitchell</v>
      </c>
      <c r="L32" s="7" t="str">
        <f t="shared" si="4"/>
        <v>EDW-029</v>
      </c>
      <c r="O32" s="15">
        <f>DATE(2024,12,1)</f>
        <v>45627</v>
      </c>
      <c r="P32" s="7" t="str">
        <f t="shared" si="6"/>
        <v>Dec-24</v>
      </c>
      <c r="Q32" s="9">
        <f>SUMIFS(Data_Cleaning!$N$2:$N$251,Data_Cleaning!$B$2:$B$251,"&gt;="&amp;O32,Data_Cleaning!$B$2:$B$251,"&lt;"&amp;EDATE(O32,1))</f>
        <v>23039.3</v>
      </c>
      <c r="R32" s="16">
        <f t="shared" si="7"/>
        <v>0.87167734681675213</v>
      </c>
      <c r="W32" s="7" t="str">
        <f t="array" ref="W32">IFERROR(INDEX(Data_Cleaning!$A$2:$A$251,SMALL(IF(Data_Cleaning!$G$2:$G$251=$X5,ROW(Data_Cleaning!$G$2:$G$251)-ROW(Data_Cleaning!$G$2)+1),25)),"")</f>
        <v>TRX0044</v>
      </c>
      <c r="X32" s="8">
        <f t="array" ref="X32">IFERROR(INDEX(Data_Cleaning!$B$2:$B$251,SMALL(IF(Data_Cleaning!$G$2:$G$251=$X5,ROW(Data_Cleaning!$G$2:$G$251)-ROW(Data_Cleaning!$G$2)+1),25)),"")</f>
        <v>45459</v>
      </c>
      <c r="Y32" s="7" t="str">
        <f t="array" ref="Y32">IFERROR(INDEX(Data_Cleaning!$D$2:$D$251,SMALL(IF(Data_Cleaning!$G$2:$G$251=$X5,ROW(Data_Cleaning!$G$2:$G$251)-ROW(Data_Cleaning!$G$2)+1),25)),"")</f>
        <v>Edward Mitchell</v>
      </c>
      <c r="Z32" s="7" t="str">
        <f t="array" ref="Z32">IFERROR(INDEX(Data_Cleaning!$F$2:$F$251,SMALL(IF(Data_Cleaning!$G$2:$G$251=$X5,ROW(Data_Cleaning!$G$2:$G$251)-ROW(Data_Cleaning!$G$2)+1),25)),"")</f>
        <v>Laptop</v>
      </c>
      <c r="AA32" s="9">
        <f t="array" ref="AA32">IFERROR(INDEX(Data_Cleaning!$N$2:$N$251,SMALL(IF(Data_Cleaning!$G$2:$G$251=$X5,ROW(Data_Cleaning!$G$2:$G$251)-ROW(Data_Cleaning!$G$2)+1),25)),"")</f>
        <v>4499.95</v>
      </c>
    </row>
    <row r="33" spans="1:27" ht="15" customHeight="1" x14ac:dyDescent="0.35">
      <c r="A33" s="7" t="s">
        <v>128</v>
      </c>
      <c r="B33" s="7" t="str">
        <f>INDEX(Data_Cleaning!$D$2:$D$251,MATCH(A33,Data_Cleaning!$C$2:$C$251,0))</f>
        <v>Helen Roberts</v>
      </c>
      <c r="C33" s="8">
        <f>INDEX(Data_Cleaning!$M$2:$M$251,MATCH(A33,Data_Cleaning!$C$2:$C$251,0))</f>
        <v>45214</v>
      </c>
      <c r="D33" s="7">
        <f t="shared" ca="1" si="0"/>
        <v>2</v>
      </c>
      <c r="E33" s="9">
        <f>SUMIFS(Data_Cleaning!$N$2:$N$251,Data_Cleaning!$C$2:$C$251,A33)</f>
        <v>6459.79</v>
      </c>
      <c r="F33" s="7">
        <f>COUNTIFS(Data_Cleaning!$C$2:$C$251,A33)</f>
        <v>7</v>
      </c>
      <c r="G33" s="9">
        <f t="shared" si="1"/>
        <v>922.8271428571428</v>
      </c>
      <c r="H33" s="7">
        <f t="shared" si="2"/>
        <v>11</v>
      </c>
      <c r="I33" s="7" t="str">
        <f t="shared" si="3"/>
        <v>Standard</v>
      </c>
      <c r="J33" s="7" t="str">
        <f>IF(COUNTIFS(Data_Cleaning!$C$2:$C$251,A33,Data_Cleaning!$F$2:$F$251,"Laptop")&gt;0,"Yes","No")</f>
        <v>Yes</v>
      </c>
      <c r="K33" s="7" t="str">
        <f>IF(AND(COUNTIFS(Data_Cleaning!$C$2:$C$251,A33,Data_Cleaning!$L$2:$L$251,"Premium")&gt;0,J33="Yes"),B33,"")</f>
        <v/>
      </c>
      <c r="L33" s="7" t="str">
        <f t="shared" si="4"/>
        <v>HEL-030</v>
      </c>
      <c r="O33" s="15">
        <f>DATE(2025,1,1)</f>
        <v>45658</v>
      </c>
      <c r="P33" s="7" t="str">
        <f t="shared" si="6"/>
        <v>Jan-25</v>
      </c>
      <c r="Q33" s="9">
        <f>SUMIFS(Data_Cleaning!$N$2:$N$251,Data_Cleaning!$B$2:$B$251,"&gt;="&amp;O33,Data_Cleaning!$B$2:$B$251,"&lt;"&amp;EDATE(O33,1))</f>
        <v>25799.15</v>
      </c>
      <c r="R33" s="16">
        <f t="shared" si="7"/>
        <v>0.11978879566653511</v>
      </c>
      <c r="W33" s="7" t="str">
        <f t="array" ref="W33">IFERROR(INDEX(Data_Cleaning!$A$2:$A$251,SMALL(IF(Data_Cleaning!$G$2:$G$251=$X5,ROW(Data_Cleaning!$G$2:$G$251)-ROW(Data_Cleaning!$G$2)+1),26)),"")</f>
        <v>TRX0025</v>
      </c>
      <c r="X33" s="8">
        <f t="array" ref="X33">IFERROR(INDEX(Data_Cleaning!$B$2:$B$251,SMALL(IF(Data_Cleaning!$G$2:$G$251=$X5,ROW(Data_Cleaning!$G$2:$G$251)-ROW(Data_Cleaning!$G$2)+1),26)),"")</f>
        <v>45468</v>
      </c>
      <c r="Y33" s="7" t="str">
        <f t="array" ref="Y33">IFERROR(INDEX(Data_Cleaning!$D$2:$D$251,SMALL(IF(Data_Cleaning!$G$2:$G$251=$X5,ROW(Data_Cleaning!$G$2:$G$251)-ROW(Data_Cleaning!$G$2)+1),26)),"")</f>
        <v>Raymond Ross</v>
      </c>
      <c r="Z33" s="7" t="str">
        <f t="array" ref="Z33">IFERROR(INDEX(Data_Cleaning!$F$2:$F$251,SMALL(IF(Data_Cleaning!$G$2:$G$251=$X5,ROW(Data_Cleaning!$G$2:$G$251)-ROW(Data_Cleaning!$G$2)+1),26)),"")</f>
        <v>Keyboard</v>
      </c>
      <c r="AA33" s="9">
        <f t="array" ref="AA33">IFERROR(INDEX(Data_Cleaning!$N$2:$N$251,SMALL(IF(Data_Cleaning!$G$2:$G$251=$X5,ROW(Data_Cleaning!$G$2:$G$251)-ROW(Data_Cleaning!$G$2)+1),26)),"")</f>
        <v>359.96</v>
      </c>
    </row>
    <row r="34" spans="1:27" ht="15" customHeight="1" x14ac:dyDescent="0.35">
      <c r="A34" s="7" t="s">
        <v>146</v>
      </c>
      <c r="B34" s="7" t="str">
        <f>INDEX(Data_Cleaning!$D$2:$D$251,MATCH(A34,Data_Cleaning!$C$2:$C$251,0))</f>
        <v>Steven Turner</v>
      </c>
      <c r="C34" s="8">
        <f>INDEX(Data_Cleaning!$M$2:$M$251,MATCH(A34,Data_Cleaning!$C$2:$C$251,0))</f>
        <v>45292</v>
      </c>
      <c r="D34" s="7">
        <f t="shared" ca="1" si="0"/>
        <v>2</v>
      </c>
      <c r="E34" s="9">
        <f>SUMIFS(Data_Cleaning!$N$2:$N$251,Data_Cleaning!$C$2:$C$251,A34)</f>
        <v>2649.83</v>
      </c>
      <c r="F34" s="7">
        <f>COUNTIFS(Data_Cleaning!$C$2:$C$251,A34)</f>
        <v>6</v>
      </c>
      <c r="G34" s="9">
        <f t="shared" si="1"/>
        <v>441.63833333333332</v>
      </c>
      <c r="H34" s="7">
        <f t="shared" si="2"/>
        <v>34</v>
      </c>
      <c r="I34" s="7" t="str">
        <f t="shared" si="3"/>
        <v>Standard</v>
      </c>
      <c r="J34" s="7" t="str">
        <f>IF(COUNTIFS(Data_Cleaning!$C$2:$C$251,A34,Data_Cleaning!$F$2:$F$251,"Laptop")&gt;0,"Yes","No")</f>
        <v>No</v>
      </c>
      <c r="K34" s="7" t="str">
        <f>IF(AND(COUNTIFS(Data_Cleaning!$C$2:$C$251,A34,Data_Cleaning!$L$2:$L$251,"Premium")&gt;0,J34="Yes"),B34,"")</f>
        <v/>
      </c>
      <c r="L34" s="7" t="str">
        <f t="shared" si="4"/>
        <v>STE-031</v>
      </c>
      <c r="O34" s="15">
        <f>DATE(2025,2,1)</f>
        <v>45689</v>
      </c>
      <c r="P34" s="7" t="str">
        <f t="shared" si="6"/>
        <v>Feb-25</v>
      </c>
      <c r="Q34" s="9">
        <f>SUMIFS(Data_Cleaning!$N$2:$N$251,Data_Cleaning!$B$2:$B$251,"&gt;="&amp;O34,Data_Cleaning!$B$2:$B$251,"&lt;"&amp;EDATE(O34,1))</f>
        <v>16069.379999999997</v>
      </c>
      <c r="R34" s="16">
        <f t="shared" si="7"/>
        <v>-0.37713529321702471</v>
      </c>
      <c r="W34" s="7" t="str">
        <f t="array" ref="W34">IFERROR(INDEX(Data_Cleaning!$A$2:$A$251,SMALL(IF(Data_Cleaning!$G$2:$G$251=$X5,ROW(Data_Cleaning!$G$2:$G$251)-ROW(Data_Cleaning!$G$2)+1),27)),"")</f>
        <v>TRX0007</v>
      </c>
      <c r="X34" s="8">
        <f t="array" ref="X34">IFERROR(INDEX(Data_Cleaning!$B$2:$B$251,SMALL(IF(Data_Cleaning!$G$2:$G$251=$X5,ROW(Data_Cleaning!$G$2:$G$251)-ROW(Data_Cleaning!$G$2)+1),27)),"")</f>
        <v>45469</v>
      </c>
      <c r="Y34" s="7" t="str">
        <f t="array" ref="Y34">IFERROR(INDEX(Data_Cleaning!$D$2:$D$251,SMALL(IF(Data_Cleaning!$G$2:$G$251=$X5,ROW(Data_Cleaning!$G$2:$G$251)-ROW(Data_Cleaning!$G$2)+1),27)),"")</f>
        <v>Robert Thomas</v>
      </c>
      <c r="Z34" s="7" t="str">
        <f t="array" ref="Z34">IFERROR(INDEX(Data_Cleaning!$F$2:$F$251,SMALL(IF(Data_Cleaning!$G$2:$G$251=$X5,ROW(Data_Cleaning!$G$2:$G$251)-ROW(Data_Cleaning!$G$2)+1),27)),"")</f>
        <v>Keyboard</v>
      </c>
      <c r="AA34" s="9">
        <f t="array" ref="AA34">IFERROR(INDEX(Data_Cleaning!$N$2:$N$251,SMALL(IF(Data_Cleaning!$G$2:$G$251=$X5,ROW(Data_Cleaning!$G$2:$G$251)-ROW(Data_Cleaning!$G$2)+1),27)),"")</f>
        <v>179.98</v>
      </c>
    </row>
    <row r="35" spans="1:27" ht="15" customHeight="1" x14ac:dyDescent="0.35">
      <c r="A35" s="7" t="s">
        <v>242</v>
      </c>
      <c r="B35" s="7" t="str">
        <f>INDEX(Data_Cleaning!$D$2:$D$251,MATCH(A35,Data_Cleaning!$C$2:$C$251,0))</f>
        <v>Sandra Phillips</v>
      </c>
      <c r="C35" s="8">
        <f>INDEX(Data_Cleaning!$M$2:$M$251,MATCH(A35,Data_Cleaning!$C$2:$C$251,0))</f>
        <v>44421</v>
      </c>
      <c r="D35" s="7">
        <f t="shared" ca="1" si="0"/>
        <v>5</v>
      </c>
      <c r="E35" s="9">
        <f>SUMIFS(Data_Cleaning!$N$2:$N$251,Data_Cleaning!$C$2:$C$251,A35)</f>
        <v>6349.83</v>
      </c>
      <c r="F35" s="7">
        <f>COUNTIFS(Data_Cleaning!$C$2:$C$251,A35)</f>
        <v>5</v>
      </c>
      <c r="G35" s="9">
        <f t="shared" si="1"/>
        <v>1269.9659999999999</v>
      </c>
      <c r="H35" s="7">
        <f t="shared" si="2"/>
        <v>13</v>
      </c>
      <c r="I35" s="7" t="str">
        <f t="shared" si="3"/>
        <v>Standard</v>
      </c>
      <c r="J35" s="7" t="str">
        <f>IF(COUNTIFS(Data_Cleaning!$C$2:$C$251,A35,Data_Cleaning!$F$2:$F$251,"Laptop")&gt;0,"Yes","No")</f>
        <v>Yes</v>
      </c>
      <c r="K35" s="7" t="str">
        <f>IF(AND(COUNTIFS(Data_Cleaning!$C$2:$C$251,A35,Data_Cleaning!$L$2:$L$251,"Premium")&gt;0,J35="Yes"),B35,"")</f>
        <v>Sandra Phillips</v>
      </c>
      <c r="L35" s="7" t="str">
        <f t="shared" si="4"/>
        <v>SAN-032</v>
      </c>
      <c r="O35" s="15">
        <f>DATE(2025,3,1)</f>
        <v>45717</v>
      </c>
      <c r="P35" s="7" t="str">
        <f t="shared" si="6"/>
        <v>Mar-25</v>
      </c>
      <c r="Q35" s="9">
        <f>SUMIFS(Data_Cleaning!$N$2:$N$251,Data_Cleaning!$B$2:$B$251,"&gt;="&amp;O35,Data_Cleaning!$B$2:$B$251,"&lt;"&amp;EDATE(O35,1))</f>
        <v>19899.379999999997</v>
      </c>
      <c r="R35" s="16">
        <f t="shared" si="7"/>
        <v>0.23834149170658736</v>
      </c>
      <c r="W35" s="7" t="str">
        <f t="array" ref="W35">IFERROR(INDEX(Data_Cleaning!$A$2:$A$251,SMALL(IF(Data_Cleaning!$G$2:$G$251=$X5,ROW(Data_Cleaning!$G$2:$G$251)-ROW(Data_Cleaning!$G$2)+1),28)),"")</f>
        <v>TRX0184</v>
      </c>
      <c r="X35" s="8">
        <f t="array" ref="X35">IFERROR(INDEX(Data_Cleaning!$B$2:$B$251,SMALL(IF(Data_Cleaning!$G$2:$G$251=$X5,ROW(Data_Cleaning!$G$2:$G$251)-ROW(Data_Cleaning!$G$2)+1),28)),"")</f>
        <v>45471</v>
      </c>
      <c r="Y35" s="7" t="str">
        <f t="array" ref="Y35">IFERROR(INDEX(Data_Cleaning!$D$2:$D$251,SMALL(IF(Data_Cleaning!$G$2:$G$251=$X5,ROW(Data_Cleaning!$G$2:$G$251)-ROW(Data_Cleaning!$G$2)+1),28)),"")</f>
        <v>Kathleen Bennett</v>
      </c>
      <c r="Z35" s="7" t="str">
        <f t="array" ref="Z35">IFERROR(INDEX(Data_Cleaning!$F$2:$F$251,SMALL(IF(Data_Cleaning!$G$2:$G$251=$X5,ROW(Data_Cleaning!$G$2:$G$251)-ROW(Data_Cleaning!$G$2)+1),28)),"")</f>
        <v>Smartphone</v>
      </c>
      <c r="AA35" s="9">
        <f t="array" ref="AA35">IFERROR(INDEX(Data_Cleaning!$N$2:$N$251,SMALL(IF(Data_Cleaning!$G$2:$G$251=$X5,ROW(Data_Cleaning!$G$2:$G$251)-ROW(Data_Cleaning!$G$2)+1),28)),"")</f>
        <v>2099.9699999999998</v>
      </c>
    </row>
    <row r="36" spans="1:27" ht="15" customHeight="1" x14ac:dyDescent="0.35">
      <c r="A36" s="7" t="s">
        <v>200</v>
      </c>
      <c r="B36" s="7" t="str">
        <f>INDEX(Data_Cleaning!$D$2:$D$251,MATCH(A36,Data_Cleaning!$C$2:$C$251,0))</f>
        <v>Frank Torres</v>
      </c>
      <c r="C36" s="8">
        <f>INDEX(Data_Cleaning!$M$2:$M$251,MATCH(A36,Data_Cleaning!$C$2:$C$251,0))</f>
        <v>44891</v>
      </c>
      <c r="D36" s="7">
        <f t="shared" ref="D36:D53" ca="1" si="8">DATEDIF(C36,TODAY(),"y")</f>
        <v>3</v>
      </c>
      <c r="E36" s="9">
        <f>SUMIFS(Data_Cleaning!$N$2:$N$251,Data_Cleaning!$C$2:$C$251,A36)</f>
        <v>1479.91</v>
      </c>
      <c r="F36" s="7">
        <f>COUNTIFS(Data_Cleaning!$C$2:$C$251,A36)</f>
        <v>5</v>
      </c>
      <c r="G36" s="9">
        <f t="shared" ref="G36:G53" si="9">IFERROR(E36/F36,0)</f>
        <v>295.98200000000003</v>
      </c>
      <c r="H36" s="7">
        <f t="shared" ref="H36:H53" si="10">RANK(E36,$E$4:$E$53)</f>
        <v>42</v>
      </c>
      <c r="I36" s="7" t="str">
        <f t="shared" ref="I36:I53" si="11">IF(H36&lt;=10,"High Value","Standard")</f>
        <v>Standard</v>
      </c>
      <c r="J36" s="7" t="str">
        <f>IF(COUNTIFS(Data_Cleaning!$C$2:$C$251,A36,Data_Cleaning!$F$2:$F$251,"Laptop")&gt;0,"Yes","No")</f>
        <v>No</v>
      </c>
      <c r="K36" s="7" t="str">
        <f>IF(AND(COUNTIFS(Data_Cleaning!$C$2:$C$251,A36,Data_Cleaning!$L$2:$L$251,"Premium")&gt;0,J36="Yes"),B36,"")</f>
        <v/>
      </c>
      <c r="L36" s="7" t="str">
        <f t="shared" ref="L36:L53" si="12">UPPER(LEFT(B36,3))&amp;"-"&amp;RIGHT(A36,3)</f>
        <v>FRA-033</v>
      </c>
      <c r="O36" s="15">
        <f>DATE(2025,4,1)</f>
        <v>45748</v>
      </c>
      <c r="P36" s="7" t="str">
        <f t="shared" si="6"/>
        <v>Apr-25</v>
      </c>
      <c r="Q36" s="9">
        <f>SUMIFS(Data_Cleaning!$N$2:$N$251,Data_Cleaning!$B$2:$B$251,"&gt;="&amp;O36,Data_Cleaning!$B$2:$B$251,"&lt;"&amp;EDATE(O36,1))</f>
        <v>6979.829999999999</v>
      </c>
      <c r="R36" s="16">
        <f t="shared" si="7"/>
        <v>-0.6492438457881603</v>
      </c>
      <c r="W36" s="7" t="str">
        <f t="array" ref="W36">IFERROR(INDEX(Data_Cleaning!$A$2:$A$251,SMALL(IF(Data_Cleaning!$G$2:$G$251=$X5,ROW(Data_Cleaning!$G$2:$G$251)-ROW(Data_Cleaning!$G$2)+1),29)),"")</f>
        <v>TRX0104</v>
      </c>
      <c r="X36" s="8">
        <f t="array" ref="X36">IFERROR(INDEX(Data_Cleaning!$B$2:$B$251,SMALL(IF(Data_Cleaning!$G$2:$G$251=$X5,ROW(Data_Cleaning!$G$2:$G$251)-ROW(Data_Cleaning!$G$2)+1),29)),"")</f>
        <v>45471</v>
      </c>
      <c r="Y36" s="7" t="str">
        <f t="array" ref="Y36">IFERROR(INDEX(Data_Cleaning!$D$2:$D$251,SMALL(IF(Data_Cleaning!$G$2:$G$251=$X5,ROW(Data_Cleaning!$G$2:$G$251)-ROW(Data_Cleaning!$G$2)+1),29)),"")</f>
        <v>Patricia Moore</v>
      </c>
      <c r="Z36" s="7" t="str">
        <f t="array" ref="Z36">IFERROR(INDEX(Data_Cleaning!$F$2:$F$251,SMALL(IF(Data_Cleaning!$G$2:$G$251=$X5,ROW(Data_Cleaning!$G$2:$G$251)-ROW(Data_Cleaning!$G$2)+1),29)),"")</f>
        <v>Laptop</v>
      </c>
      <c r="AA36" s="9">
        <f t="array" ref="AA36">IFERROR(INDEX(Data_Cleaning!$N$2:$N$251,SMALL(IF(Data_Cleaning!$G$2:$G$251=$X5,ROW(Data_Cleaning!$G$2:$G$251)-ROW(Data_Cleaning!$G$2)+1),29)),"")</f>
        <v>3599.96</v>
      </c>
    </row>
    <row r="37" spans="1:27" ht="15" customHeight="1" x14ac:dyDescent="0.35">
      <c r="A37" s="7" t="s">
        <v>239</v>
      </c>
      <c r="B37" s="7" t="str">
        <f>INDEX(Data_Cleaning!$D$2:$D$251,MATCH(A37,Data_Cleaning!$C$2:$C$251,0))</f>
        <v>Carol Evans</v>
      </c>
      <c r="C37" s="8">
        <f>INDEX(Data_Cleaning!$M$2:$M$251,MATCH(A37,Data_Cleaning!$C$2:$C$251,0))</f>
        <v>45212</v>
      </c>
      <c r="D37" s="7">
        <f t="shared" ca="1" si="8"/>
        <v>2</v>
      </c>
      <c r="E37" s="9">
        <f>SUMIFS(Data_Cleaning!$N$2:$N$251,Data_Cleaning!$C$2:$C$251,A37)</f>
        <v>1149.93</v>
      </c>
      <c r="F37" s="7">
        <f>COUNTIFS(Data_Cleaning!$C$2:$C$251,A37)</f>
        <v>3</v>
      </c>
      <c r="G37" s="9">
        <f t="shared" si="9"/>
        <v>383.31</v>
      </c>
      <c r="H37" s="7">
        <f t="shared" si="10"/>
        <v>45</v>
      </c>
      <c r="I37" s="7" t="str">
        <f t="shared" si="11"/>
        <v>Standard</v>
      </c>
      <c r="J37" s="7" t="str">
        <f>IF(COUNTIFS(Data_Cleaning!$C$2:$C$251,A37,Data_Cleaning!$F$2:$F$251,"Laptop")&gt;0,"Yes","No")</f>
        <v>No</v>
      </c>
      <c r="K37" s="7" t="str">
        <f>IF(AND(COUNTIFS(Data_Cleaning!$C$2:$C$251,A37,Data_Cleaning!$L$2:$L$251,"Premium")&gt;0,J37="Yes"),B37,"")</f>
        <v/>
      </c>
      <c r="L37" s="7" t="str">
        <f t="shared" si="12"/>
        <v>CAR-034</v>
      </c>
      <c r="W37" s="7" t="str">
        <f t="array" ref="W37">IFERROR(INDEX(Data_Cleaning!$A$2:$A$251,SMALL(IF(Data_Cleaning!$G$2:$G$251=$X5,ROW(Data_Cleaning!$G$2:$G$251)-ROW(Data_Cleaning!$G$2)+1),30)),"")</f>
        <v>TRX0096</v>
      </c>
      <c r="X37" s="8">
        <f t="array" ref="X37">IFERROR(INDEX(Data_Cleaning!$B$2:$B$251,SMALL(IF(Data_Cleaning!$G$2:$G$251=$X5,ROW(Data_Cleaning!$G$2:$G$251)-ROW(Data_Cleaning!$G$2)+1),30)),"")</f>
        <v>45474</v>
      </c>
      <c r="Y37" s="7" t="str">
        <f t="array" ref="Y37">IFERROR(INDEX(Data_Cleaning!$D$2:$D$251,SMALL(IF(Data_Cleaning!$G$2:$G$251=$X5,ROW(Data_Cleaning!$G$2:$G$251)-ROW(Data_Cleaning!$G$2)+1),30)),"")</f>
        <v>Emma Wilson</v>
      </c>
      <c r="Z37" s="7" t="str">
        <f t="array" ref="Z37">IFERROR(INDEX(Data_Cleaning!$F$2:$F$251,SMALL(IF(Data_Cleaning!$G$2:$G$251=$X5,ROW(Data_Cleaning!$G$2:$G$251)-ROW(Data_Cleaning!$G$2)+1),30)),"")</f>
        <v>Keyboard</v>
      </c>
      <c r="AA37" s="9">
        <f t="array" ref="AA37">IFERROR(INDEX(Data_Cleaning!$N$2:$N$251,SMALL(IF(Data_Cleaning!$G$2:$G$251=$X5,ROW(Data_Cleaning!$G$2:$G$251)-ROW(Data_Cleaning!$G$2)+1),30)),"")</f>
        <v>179.98</v>
      </c>
    </row>
    <row r="38" spans="1:27" ht="15" customHeight="1" x14ac:dyDescent="0.35">
      <c r="A38" s="7" t="s">
        <v>152</v>
      </c>
      <c r="B38" s="7" t="str">
        <f>INDEX(Data_Cleaning!$D$2:$D$251,MATCH(A38,Data_Cleaning!$C$2:$C$251,0))</f>
        <v>Harry Morgan</v>
      </c>
      <c r="C38" s="8">
        <f>INDEX(Data_Cleaning!$M$2:$M$251,MATCH(A38,Data_Cleaning!$C$2:$C$251,0))</f>
        <v>45120</v>
      </c>
      <c r="D38" s="7">
        <f t="shared" ca="1" si="8"/>
        <v>3</v>
      </c>
      <c r="E38" s="9">
        <f>SUMIFS(Data_Cleaning!$N$2:$N$251,Data_Cleaning!$C$2:$C$251,A38)</f>
        <v>5519.8899999999994</v>
      </c>
      <c r="F38" s="7">
        <f>COUNTIFS(Data_Cleaning!$C$2:$C$251,A38)</f>
        <v>4</v>
      </c>
      <c r="G38" s="9">
        <f t="shared" si="9"/>
        <v>1379.9724999999999</v>
      </c>
      <c r="H38" s="7">
        <f t="shared" si="10"/>
        <v>18</v>
      </c>
      <c r="I38" s="7" t="str">
        <f t="shared" si="11"/>
        <v>Standard</v>
      </c>
      <c r="J38" s="7" t="str">
        <f>IF(COUNTIFS(Data_Cleaning!$C$2:$C$251,A38,Data_Cleaning!$F$2:$F$251,"Laptop")&gt;0,"Yes","No")</f>
        <v>Yes</v>
      </c>
      <c r="K38" s="7" t="str">
        <f>IF(AND(COUNTIFS(Data_Cleaning!$C$2:$C$251,A38,Data_Cleaning!$L$2:$L$251,"Premium")&gt;0,J38="Yes"),B38,"")</f>
        <v>Harry Morgan</v>
      </c>
      <c r="L38" s="7" t="str">
        <f t="shared" si="12"/>
        <v>HAR-035</v>
      </c>
      <c r="W38" s="7" t="str">
        <f t="array" ref="W38">IFERROR(INDEX(Data_Cleaning!$A$2:$A$251,SMALL(IF(Data_Cleaning!$G$2:$G$251=$X5,ROW(Data_Cleaning!$G$2:$G$251)-ROW(Data_Cleaning!$G$2)+1),31)),"")</f>
        <v>TRX0192</v>
      </c>
      <c r="X38" s="8">
        <f t="array" ref="X38">IFERROR(INDEX(Data_Cleaning!$B$2:$B$251,SMALL(IF(Data_Cleaning!$G$2:$G$251=$X5,ROW(Data_Cleaning!$G$2:$G$251)-ROW(Data_Cleaning!$G$2)+1),31)),"")</f>
        <v>45475</v>
      </c>
      <c r="Y38" s="7" t="str">
        <f t="array" ref="Y38">IFERROR(INDEX(Data_Cleaning!$D$2:$D$251,SMALL(IF(Data_Cleaning!$G$2:$G$251=$X5,ROW(Data_Cleaning!$G$2:$G$251)-ROW(Data_Cleaning!$G$2)+1),31)),"")</f>
        <v>Charles Allen</v>
      </c>
      <c r="Z38" s="7" t="str">
        <f t="array" ref="Z38">IFERROR(INDEX(Data_Cleaning!$F$2:$F$251,SMALL(IF(Data_Cleaning!$G$2:$G$251=$X5,ROW(Data_Cleaning!$G$2:$G$251)-ROW(Data_Cleaning!$G$2)+1),31)),"")</f>
        <v>Keyboard</v>
      </c>
      <c r="AA38" s="9">
        <f t="array" ref="AA38">IFERROR(INDEX(Data_Cleaning!$N$2:$N$251,SMALL(IF(Data_Cleaning!$G$2:$G$251=$X5,ROW(Data_Cleaning!$G$2:$G$251)-ROW(Data_Cleaning!$G$2)+1),31)),"")</f>
        <v>89.99</v>
      </c>
    </row>
    <row r="39" spans="1:27" ht="15" customHeight="1" x14ac:dyDescent="0.35">
      <c r="A39" s="7" t="s">
        <v>116</v>
      </c>
      <c r="B39" s="7" t="str">
        <f>INDEX(Data_Cleaning!$D$2:$D$251,MATCH(A39,Data_Cleaning!$C$2:$C$251,0))</f>
        <v>Nancy Collins</v>
      </c>
      <c r="C39" s="8">
        <f>INDEX(Data_Cleaning!$M$2:$M$251,MATCH(A39,Data_Cleaning!$C$2:$C$251,0))</f>
        <v>44525</v>
      </c>
      <c r="D39" s="7">
        <f t="shared" ca="1" si="8"/>
        <v>4</v>
      </c>
      <c r="E39" s="9">
        <f>SUMIFS(Data_Cleaning!$N$2:$N$251,Data_Cleaning!$C$2:$C$251,A39)</f>
        <v>4189.7700000000004</v>
      </c>
      <c r="F39" s="7">
        <f>COUNTIFS(Data_Cleaning!$C$2:$C$251,A39)</f>
        <v>6</v>
      </c>
      <c r="G39" s="9">
        <f t="shared" si="9"/>
        <v>698.29500000000007</v>
      </c>
      <c r="H39" s="7">
        <f t="shared" si="10"/>
        <v>27</v>
      </c>
      <c r="I39" s="7" t="str">
        <f t="shared" si="11"/>
        <v>Standard</v>
      </c>
      <c r="J39" s="7" t="str">
        <f>IF(COUNTIFS(Data_Cleaning!$C$2:$C$251,A39,Data_Cleaning!$F$2:$F$251,"Laptop")&gt;0,"Yes","No")</f>
        <v>No</v>
      </c>
      <c r="K39" s="7" t="str">
        <f>IF(AND(COUNTIFS(Data_Cleaning!$C$2:$C$251,A39,Data_Cleaning!$L$2:$L$251,"Premium")&gt;0,J39="Yes"),B39,"")</f>
        <v/>
      </c>
      <c r="L39" s="7" t="str">
        <f t="shared" si="12"/>
        <v>NAN-036</v>
      </c>
      <c r="W39" s="7" t="str">
        <f t="array" ref="W39">IFERROR(INDEX(Data_Cleaning!$A$2:$A$251,SMALL(IF(Data_Cleaning!$G$2:$G$251=$X5,ROW(Data_Cleaning!$G$2:$G$251)-ROW(Data_Cleaning!$G$2)+1),32)),"")</f>
        <v>TRX0052</v>
      </c>
      <c r="X39" s="8">
        <f t="array" ref="X39">IFERROR(INDEX(Data_Cleaning!$B$2:$B$251,SMALL(IF(Data_Cleaning!$G$2:$G$251=$X5,ROW(Data_Cleaning!$G$2:$G$251)-ROW(Data_Cleaning!$G$2)+1),32)),"")</f>
        <v>45476</v>
      </c>
      <c r="Y39" s="7" t="str">
        <f t="array" ref="Y39">IFERROR(INDEX(Data_Cleaning!$D$2:$D$251,SMALL(IF(Data_Cleaning!$G$2:$G$251=$X5,ROW(Data_Cleaning!$G$2:$G$251)-ROW(Data_Cleaning!$G$2)+1),32)),"")</f>
        <v>Susan Green</v>
      </c>
      <c r="Z39" s="7" t="str">
        <f t="array" ref="Z39">IFERROR(INDEX(Data_Cleaning!$F$2:$F$251,SMALL(IF(Data_Cleaning!$G$2:$G$251=$X5,ROW(Data_Cleaning!$G$2:$G$251)-ROW(Data_Cleaning!$G$2)+1),32)),"")</f>
        <v>Keyboard</v>
      </c>
      <c r="AA39" s="9">
        <f t="array" ref="AA39">IFERROR(INDEX(Data_Cleaning!$N$2:$N$251,SMALL(IF(Data_Cleaning!$G$2:$G$251=$X5,ROW(Data_Cleaning!$G$2:$G$251)-ROW(Data_Cleaning!$G$2)+1),32)),"")</f>
        <v>89.99</v>
      </c>
    </row>
    <row r="40" spans="1:27" ht="15" customHeight="1" x14ac:dyDescent="0.35">
      <c r="A40" s="7" t="s">
        <v>333</v>
      </c>
      <c r="B40" s="7" t="str">
        <f>INDEX(Data_Cleaning!$D$2:$D$251,MATCH(A40,Data_Cleaning!$C$2:$C$251,0))</f>
        <v>Arthur Edwards</v>
      </c>
      <c r="C40" s="8">
        <f>INDEX(Data_Cleaning!$M$2:$M$251,MATCH(A40,Data_Cleaning!$C$2:$C$251,0))</f>
        <v>44752</v>
      </c>
      <c r="D40" s="7">
        <f t="shared" ca="1" si="8"/>
        <v>4</v>
      </c>
      <c r="E40" s="9">
        <f>SUMIFS(Data_Cleaning!$N$2:$N$251,Data_Cleaning!$C$2:$C$251,A40)</f>
        <v>1559.94</v>
      </c>
      <c r="F40" s="7">
        <f>COUNTIFS(Data_Cleaning!$C$2:$C$251,A40)</f>
        <v>3</v>
      </c>
      <c r="G40" s="9">
        <f t="shared" si="9"/>
        <v>519.98</v>
      </c>
      <c r="H40" s="7">
        <f t="shared" si="10"/>
        <v>41</v>
      </c>
      <c r="I40" s="7" t="str">
        <f t="shared" si="11"/>
        <v>Standard</v>
      </c>
      <c r="J40" s="7" t="str">
        <f>IF(COUNTIFS(Data_Cleaning!$C$2:$C$251,A40,Data_Cleaning!$F$2:$F$251,"Laptop")&gt;0,"Yes","No")</f>
        <v>Yes</v>
      </c>
      <c r="K40" s="7" t="str">
        <f>IF(AND(COUNTIFS(Data_Cleaning!$C$2:$C$251,A40,Data_Cleaning!$L$2:$L$251,"Premium")&gt;0,J40="Yes"),B40,"")</f>
        <v>Arthur Edwards</v>
      </c>
      <c r="L40" s="7" t="str">
        <f t="shared" si="12"/>
        <v>ART-037</v>
      </c>
      <c r="W40" s="7" t="str">
        <f t="array" ref="W40">IFERROR(INDEX(Data_Cleaning!$A$2:$A$251,SMALL(IF(Data_Cleaning!$G$2:$G$251=$X5,ROW(Data_Cleaning!$G$2:$G$251)-ROW(Data_Cleaning!$G$2)+1),33)),"")</f>
        <v>TRX0113</v>
      </c>
      <c r="X40" s="8">
        <f t="array" ref="X40">IFERROR(INDEX(Data_Cleaning!$B$2:$B$251,SMALL(IF(Data_Cleaning!$G$2:$G$251=$X5,ROW(Data_Cleaning!$G$2:$G$251)-ROW(Data_Cleaning!$G$2)+1),33)),"")</f>
        <v>45481</v>
      </c>
      <c r="Y40" s="7" t="str">
        <f t="array" ref="Y40">IFERROR(INDEX(Data_Cleaning!$D$2:$D$251,SMALL(IF(Data_Cleaning!$G$2:$G$251=$X5,ROW(Data_Cleaning!$G$2:$G$251)-ROW(Data_Cleaning!$G$2)+1),33)),"")</f>
        <v>Michael Brown</v>
      </c>
      <c r="Z40" s="7" t="str">
        <f t="array" ref="Z40">IFERROR(INDEX(Data_Cleaning!$F$2:$F$251,SMALL(IF(Data_Cleaning!$G$2:$G$251=$X5,ROW(Data_Cleaning!$G$2:$G$251)-ROW(Data_Cleaning!$G$2)+1),33)),"")</f>
        <v>Smartphone</v>
      </c>
      <c r="AA40" s="9">
        <f t="array" ref="AA40">IFERROR(INDEX(Data_Cleaning!$N$2:$N$251,SMALL(IF(Data_Cleaning!$G$2:$G$251=$X5,ROW(Data_Cleaning!$G$2:$G$251)-ROW(Data_Cleaning!$G$2)+1),33)),"")</f>
        <v>1399.98</v>
      </c>
    </row>
    <row r="41" spans="1:27" ht="15" customHeight="1" x14ac:dyDescent="0.35">
      <c r="A41" s="7" t="s">
        <v>86</v>
      </c>
      <c r="B41" s="7" t="str">
        <f>INDEX(Data_Cleaning!$D$2:$D$251,MATCH(A41,Data_Cleaning!$C$2:$C$251,0))</f>
        <v>Michelle Rogers</v>
      </c>
      <c r="C41" s="8">
        <f>INDEX(Data_Cleaning!$M$2:$M$251,MATCH(A41,Data_Cleaning!$C$2:$C$251,0))</f>
        <v>44577</v>
      </c>
      <c r="D41" s="7">
        <f t="shared" ca="1" si="8"/>
        <v>4</v>
      </c>
      <c r="E41" s="9">
        <f>SUMIFS(Data_Cleaning!$N$2:$N$251,Data_Cleaning!$C$2:$C$251,A41)</f>
        <v>4199.9399999999996</v>
      </c>
      <c r="F41" s="7">
        <f>COUNTIFS(Data_Cleaning!$C$2:$C$251,A41)</f>
        <v>2</v>
      </c>
      <c r="G41" s="9">
        <f t="shared" si="9"/>
        <v>2099.9699999999998</v>
      </c>
      <c r="H41" s="7">
        <f t="shared" si="10"/>
        <v>26</v>
      </c>
      <c r="I41" s="7" t="str">
        <f t="shared" si="11"/>
        <v>Standard</v>
      </c>
      <c r="J41" s="7" t="str">
        <f>IF(COUNTIFS(Data_Cleaning!$C$2:$C$251,A41,Data_Cleaning!$F$2:$F$251,"Laptop")&gt;0,"Yes","No")</f>
        <v>No</v>
      </c>
      <c r="K41" s="7" t="str">
        <f>IF(AND(COUNTIFS(Data_Cleaning!$C$2:$C$251,A41,Data_Cleaning!$L$2:$L$251,"Premium")&gt;0,J41="Yes"),B41,"")</f>
        <v/>
      </c>
      <c r="L41" s="7" t="str">
        <f t="shared" si="12"/>
        <v>MIC-038</v>
      </c>
      <c r="W41" s="7" t="str">
        <f t="array" ref="W41">IFERROR(INDEX(Data_Cleaning!$A$2:$A$251,SMALL(IF(Data_Cleaning!$G$2:$G$251=$X5,ROW(Data_Cleaning!$G$2:$G$251)-ROW(Data_Cleaning!$G$2)+1),34)),"")</f>
        <v>TRX0114</v>
      </c>
      <c r="X41" s="8">
        <f t="array" ref="X41">IFERROR(INDEX(Data_Cleaning!$B$2:$B$251,SMALL(IF(Data_Cleaning!$G$2:$G$251=$X5,ROW(Data_Cleaning!$G$2:$G$251)-ROW(Data_Cleaning!$G$2)+1),34)),"")</f>
        <v>45481</v>
      </c>
      <c r="Y41" s="7" t="str">
        <f t="array" ref="Y41">IFERROR(INDEX(Data_Cleaning!$D$2:$D$251,SMALL(IF(Data_Cleaning!$G$2:$G$251=$X5,ROW(Data_Cleaning!$G$2:$G$251)-ROW(Data_Cleaning!$G$2)+1),34)),"")</f>
        <v>Barbara Young</v>
      </c>
      <c r="Z41" s="7" t="str">
        <f t="array" ref="Z41">IFERROR(INDEX(Data_Cleaning!$F$2:$F$251,SMALL(IF(Data_Cleaning!$G$2:$G$251=$X5,ROW(Data_Cleaning!$G$2:$G$251)-ROW(Data_Cleaning!$G$2)+1),34)),"")</f>
        <v>Keyboard</v>
      </c>
      <c r="AA41" s="9">
        <f t="array" ref="AA41">IFERROR(INDEX(Data_Cleaning!$N$2:$N$251,SMALL(IF(Data_Cleaning!$G$2:$G$251=$X5,ROW(Data_Cleaning!$G$2:$G$251)-ROW(Data_Cleaning!$G$2)+1),34)),"")</f>
        <v>449.95</v>
      </c>
    </row>
    <row r="42" spans="1:27" ht="15" customHeight="1" x14ac:dyDescent="0.35">
      <c r="A42" s="7" t="s">
        <v>234</v>
      </c>
      <c r="B42" s="7" t="str">
        <f>INDEX(Data_Cleaning!$D$2:$D$251,MATCH(A42,Data_Cleaning!$C$2:$C$251,0))</f>
        <v>Lawrence Reed</v>
      </c>
      <c r="C42" s="8">
        <f>INDEX(Data_Cleaning!$M$2:$M$251,MATCH(A42,Data_Cleaning!$C$2:$C$251,0))</f>
        <v>44779</v>
      </c>
      <c r="D42" s="7">
        <f t="shared" ca="1" si="8"/>
        <v>4</v>
      </c>
      <c r="E42" s="9">
        <f>SUMIFS(Data_Cleaning!$N$2:$N$251,Data_Cleaning!$C$2:$C$251,A42)</f>
        <v>6989.7699999999986</v>
      </c>
      <c r="F42" s="7">
        <f>COUNTIFS(Data_Cleaning!$C$2:$C$251,A42)</f>
        <v>8</v>
      </c>
      <c r="G42" s="9">
        <f t="shared" si="9"/>
        <v>873.72124999999983</v>
      </c>
      <c r="H42" s="7">
        <f t="shared" si="10"/>
        <v>9</v>
      </c>
      <c r="I42" s="7" t="str">
        <f t="shared" si="11"/>
        <v>High Value</v>
      </c>
      <c r="J42" s="7" t="str">
        <f>IF(COUNTIFS(Data_Cleaning!$C$2:$C$251,A42,Data_Cleaning!$F$2:$F$251,"Laptop")&gt;0,"Yes","No")</f>
        <v>No</v>
      </c>
      <c r="K42" s="7" t="str">
        <f>IF(AND(COUNTIFS(Data_Cleaning!$C$2:$C$251,A42,Data_Cleaning!$L$2:$L$251,"Premium")&gt;0,J42="Yes"),B42,"")</f>
        <v/>
      </c>
      <c r="L42" s="7" t="str">
        <f t="shared" si="12"/>
        <v>LAW-039</v>
      </c>
      <c r="W42" s="7" t="str">
        <f t="array" ref="W42">IFERROR(INDEX(Data_Cleaning!$A$2:$A$251,SMALL(IF(Data_Cleaning!$G$2:$G$251=$X5,ROW(Data_Cleaning!$G$2:$G$251)-ROW(Data_Cleaning!$G$2)+1),35)),"")</f>
        <v>TRX0018</v>
      </c>
      <c r="X42" s="8">
        <f t="array" ref="X42">IFERROR(INDEX(Data_Cleaning!$B$2:$B$251,SMALL(IF(Data_Cleaning!$G$2:$G$251=$X5,ROW(Data_Cleaning!$G$2:$G$251)-ROW(Data_Cleaning!$G$2)+1),35)),"")</f>
        <v>45484</v>
      </c>
      <c r="Y42" s="7" t="str">
        <f t="array" ref="Y42">IFERROR(INDEX(Data_Cleaning!$D$2:$D$251,SMALL(IF(Data_Cleaning!$G$2:$G$251=$X5,ROW(Data_Cleaning!$G$2:$G$251)-ROW(Data_Cleaning!$G$2)+1),35)),"")</f>
        <v>Joseph Jackson</v>
      </c>
      <c r="Z42" s="7" t="str">
        <f t="array" ref="Z42">IFERROR(INDEX(Data_Cleaning!$F$2:$F$251,SMALL(IF(Data_Cleaning!$G$2:$G$251=$X5,ROW(Data_Cleaning!$G$2:$G$251)-ROW(Data_Cleaning!$G$2)+1),35)),"")</f>
        <v>Headphones</v>
      </c>
      <c r="AA42" s="9">
        <f t="array" ref="AA42">IFERROR(INDEX(Data_Cleaning!$N$2:$N$251,SMALL(IF(Data_Cleaning!$G$2:$G$251=$X5,ROW(Data_Cleaning!$G$2:$G$251)-ROW(Data_Cleaning!$G$2)+1),35)),"")</f>
        <v>149.99</v>
      </c>
    </row>
    <row r="43" spans="1:27" ht="15" customHeight="1" x14ac:dyDescent="0.35">
      <c r="A43" s="7" t="s">
        <v>158</v>
      </c>
      <c r="B43" s="7" t="str">
        <f>INDEX(Data_Cleaning!$D$2:$D$251,MATCH(A43,Data_Cleaning!$C$2:$C$251,0))</f>
        <v>Sharon Butler</v>
      </c>
      <c r="C43" s="8">
        <f>INDEX(Data_Cleaning!$M$2:$M$251,MATCH(A43,Data_Cleaning!$C$2:$C$251,0))</f>
        <v>45390</v>
      </c>
      <c r="D43" s="7">
        <f t="shared" ca="1" si="8"/>
        <v>2</v>
      </c>
      <c r="E43" s="9">
        <f>SUMIFS(Data_Cleaning!$N$2:$N$251,Data_Cleaning!$C$2:$C$251,A43)</f>
        <v>5619.869999999999</v>
      </c>
      <c r="F43" s="7">
        <f>COUNTIFS(Data_Cleaning!$C$2:$C$251,A43)</f>
        <v>6</v>
      </c>
      <c r="G43" s="9">
        <f t="shared" si="9"/>
        <v>936.64499999999987</v>
      </c>
      <c r="H43" s="7">
        <f t="shared" si="10"/>
        <v>17</v>
      </c>
      <c r="I43" s="7" t="str">
        <f t="shared" si="11"/>
        <v>Standard</v>
      </c>
      <c r="J43" s="7" t="str">
        <f>IF(COUNTIFS(Data_Cleaning!$C$2:$C$251,A43,Data_Cleaning!$F$2:$F$251,"Laptop")&gt;0,"Yes","No")</f>
        <v>Yes</v>
      </c>
      <c r="K43" s="7" t="str">
        <f>IF(AND(COUNTIFS(Data_Cleaning!$C$2:$C$251,A43,Data_Cleaning!$L$2:$L$251,"Premium")&gt;0,J43="Yes"),B43,"")</f>
        <v>Sharon Butler</v>
      </c>
      <c r="L43" s="7" t="str">
        <f t="shared" si="12"/>
        <v>SHA-040</v>
      </c>
      <c r="W43" s="7" t="str">
        <f t="array" ref="W43">IFERROR(INDEX(Data_Cleaning!$A$2:$A$251,SMALL(IF(Data_Cleaning!$G$2:$G$251=$X5,ROW(Data_Cleaning!$G$2:$G$251)-ROW(Data_Cleaning!$G$2)+1),36)),"")</f>
        <v>TRX0162</v>
      </c>
      <c r="X43" s="8">
        <f t="array" ref="X43">IFERROR(INDEX(Data_Cleaning!$B$2:$B$251,SMALL(IF(Data_Cleaning!$G$2:$G$251=$X5,ROW(Data_Cleaning!$G$2:$G$251)-ROW(Data_Cleaning!$G$2)+1),36)),"")</f>
        <v>45496</v>
      </c>
      <c r="Y43" s="7" t="str">
        <f t="array" ref="Y43">IFERROR(INDEX(Data_Cleaning!$D$2:$D$251,SMALL(IF(Data_Cleaning!$G$2:$G$251=$X5,ROW(Data_Cleaning!$G$2:$G$251)-ROW(Data_Cleaning!$G$2)+1),36)),"")</f>
        <v>Sharon Butler</v>
      </c>
      <c r="Z43" s="7" t="str">
        <f t="array" ref="Z43">IFERROR(INDEX(Data_Cleaning!$F$2:$F$251,SMALL(IF(Data_Cleaning!$G$2:$G$251=$X5,ROW(Data_Cleaning!$G$2:$G$251)-ROW(Data_Cleaning!$G$2)+1),36)),"")</f>
        <v>Laptop</v>
      </c>
      <c r="AA43" s="9">
        <f t="array" ref="AA43">IFERROR(INDEX(Data_Cleaning!$N$2:$N$251,SMALL(IF(Data_Cleaning!$G$2:$G$251=$X5,ROW(Data_Cleaning!$G$2:$G$251)-ROW(Data_Cleaning!$G$2)+1),36)),"")</f>
        <v>899.99</v>
      </c>
    </row>
    <row r="44" spans="1:27" ht="15" customHeight="1" x14ac:dyDescent="0.35">
      <c r="A44" s="7" t="s">
        <v>80</v>
      </c>
      <c r="B44" s="7" t="str">
        <f>INDEX(Data_Cleaning!$D$2:$D$251,MATCH(A44,Data_Cleaning!$C$2:$C$251,0))</f>
        <v>Peter Richardson</v>
      </c>
      <c r="C44" s="8">
        <f>INDEX(Data_Cleaning!$M$2:$M$251,MATCH(A44,Data_Cleaning!$C$2:$C$251,0))</f>
        <v>44806</v>
      </c>
      <c r="D44" s="7">
        <f t="shared" ca="1" si="8"/>
        <v>4</v>
      </c>
      <c r="E44" s="9">
        <f>SUMIFS(Data_Cleaning!$N$2:$N$251,Data_Cleaning!$C$2:$C$251,A44)</f>
        <v>5949.85</v>
      </c>
      <c r="F44" s="7">
        <f>COUNTIFS(Data_Cleaning!$C$2:$C$251,A44)</f>
        <v>5</v>
      </c>
      <c r="G44" s="9">
        <f t="shared" si="9"/>
        <v>1189.97</v>
      </c>
      <c r="H44" s="7">
        <f t="shared" si="10"/>
        <v>15</v>
      </c>
      <c r="I44" s="7" t="str">
        <f t="shared" si="11"/>
        <v>Standard</v>
      </c>
      <c r="J44" s="7" t="str">
        <f>IF(COUNTIFS(Data_Cleaning!$C$2:$C$251,A44,Data_Cleaning!$F$2:$F$251,"Laptop")&gt;0,"Yes","No")</f>
        <v>Yes</v>
      </c>
      <c r="K44" s="7" t="str">
        <f>IF(AND(COUNTIFS(Data_Cleaning!$C$2:$C$251,A44,Data_Cleaning!$L$2:$L$251,"Premium")&gt;0,J44="Yes"),B44,"")</f>
        <v>Peter Richardson</v>
      </c>
      <c r="L44" s="7" t="str">
        <f t="shared" si="12"/>
        <v>PET-041</v>
      </c>
      <c r="W44" s="7" t="str">
        <f t="array" ref="W44">IFERROR(INDEX(Data_Cleaning!$A$2:$A$251,SMALL(IF(Data_Cleaning!$G$2:$G$251=$X5,ROW(Data_Cleaning!$G$2:$G$251)-ROW(Data_Cleaning!$G$2)+1),37)),"")</f>
        <v>TRX0244</v>
      </c>
      <c r="X44" s="8">
        <f t="array" ref="X44">IFERROR(INDEX(Data_Cleaning!$B$2:$B$251,SMALL(IF(Data_Cleaning!$G$2:$G$251=$X5,ROW(Data_Cleaning!$G$2:$G$251)-ROW(Data_Cleaning!$G$2)+1),37)),"")</f>
        <v>45497</v>
      </c>
      <c r="Y44" s="7" t="str">
        <f t="array" ref="Y44">IFERROR(INDEX(Data_Cleaning!$D$2:$D$251,SMALL(IF(Data_Cleaning!$G$2:$G$251=$X5,ROW(Data_Cleaning!$G$2:$G$251)-ROW(Data_Cleaning!$G$2)+1),37)),"")</f>
        <v>Joseph Jackson</v>
      </c>
      <c r="Z44" s="7" t="str">
        <f t="array" ref="Z44">IFERROR(INDEX(Data_Cleaning!$F$2:$F$251,SMALL(IF(Data_Cleaning!$G$2:$G$251=$X5,ROW(Data_Cleaning!$G$2:$G$251)-ROW(Data_Cleaning!$G$2)+1),37)),"")</f>
        <v>Laptop</v>
      </c>
      <c r="AA44" s="9">
        <f t="array" ref="AA44">IFERROR(INDEX(Data_Cleaning!$N$2:$N$251,SMALL(IF(Data_Cleaning!$G$2:$G$251=$X5,ROW(Data_Cleaning!$G$2:$G$251)-ROW(Data_Cleaning!$G$2)+1),37)),"")</f>
        <v>4499.95</v>
      </c>
    </row>
    <row r="45" spans="1:27" ht="15" customHeight="1" x14ac:dyDescent="0.35">
      <c r="A45" s="7" t="s">
        <v>254</v>
      </c>
      <c r="B45" s="7" t="str">
        <f>INDEX(Data_Cleaning!$D$2:$D$251,MATCH(A45,Data_Cleaning!$C$2:$C$251,0))</f>
        <v>Ruth Brooks</v>
      </c>
      <c r="C45" s="8">
        <f>INDEX(Data_Cleaning!$M$2:$M$251,MATCH(A45,Data_Cleaning!$C$2:$C$251,0))</f>
        <v>44909</v>
      </c>
      <c r="D45" s="7">
        <f t="shared" ca="1" si="8"/>
        <v>3</v>
      </c>
      <c r="E45" s="9">
        <f>SUMIFS(Data_Cleaning!$N$2:$N$251,Data_Cleaning!$C$2:$C$251,A45)</f>
        <v>1749.92</v>
      </c>
      <c r="F45" s="7">
        <f>COUNTIFS(Data_Cleaning!$C$2:$C$251,A45)</f>
        <v>3</v>
      </c>
      <c r="G45" s="9">
        <f t="shared" si="9"/>
        <v>583.30666666666673</v>
      </c>
      <c r="H45" s="7">
        <f t="shared" si="10"/>
        <v>40</v>
      </c>
      <c r="I45" s="7" t="str">
        <f t="shared" si="11"/>
        <v>Standard</v>
      </c>
      <c r="J45" s="7" t="str">
        <f>IF(COUNTIFS(Data_Cleaning!$C$2:$C$251,A45,Data_Cleaning!$F$2:$F$251,"Laptop")&gt;0,"Yes","No")</f>
        <v>No</v>
      </c>
      <c r="K45" s="7" t="str">
        <f>IF(AND(COUNTIFS(Data_Cleaning!$C$2:$C$251,A45,Data_Cleaning!$L$2:$L$251,"Premium")&gt;0,J45="Yes"),B45,"")</f>
        <v/>
      </c>
      <c r="L45" s="7" t="str">
        <f t="shared" si="12"/>
        <v>RUT-042</v>
      </c>
      <c r="W45" s="7" t="str">
        <f t="array" ref="W45">IFERROR(INDEX(Data_Cleaning!$A$2:$A$251,SMALL(IF(Data_Cleaning!$G$2:$G$251=$X5,ROW(Data_Cleaning!$G$2:$G$251)-ROW(Data_Cleaning!$G$2)+1),38)),"")</f>
        <v>TRX0215</v>
      </c>
      <c r="X45" s="8">
        <f t="array" ref="X45">IFERROR(INDEX(Data_Cleaning!$B$2:$B$251,SMALL(IF(Data_Cleaning!$G$2:$G$251=$X5,ROW(Data_Cleaning!$G$2:$G$251)-ROW(Data_Cleaning!$G$2)+1),38)),"")</f>
        <v>45498</v>
      </c>
      <c r="Y45" s="7" t="str">
        <f t="array" ref="Y45">IFERROR(INDEX(Data_Cleaning!$D$2:$D$251,SMALL(IF(Data_Cleaning!$G$2:$G$251=$X5,ROW(Data_Cleaning!$G$2:$G$251)-ROW(Data_Cleaning!$G$2)+1),38)),"")</f>
        <v>Gerald Murphy</v>
      </c>
      <c r="Z45" s="7" t="str">
        <f t="array" ref="Z45">IFERROR(INDEX(Data_Cleaning!$F$2:$F$251,SMALL(IF(Data_Cleaning!$G$2:$G$251=$X5,ROW(Data_Cleaning!$G$2:$G$251)-ROW(Data_Cleaning!$G$2)+1),38)),"")</f>
        <v>Monitor</v>
      </c>
      <c r="AA45" s="9">
        <f t="array" ref="AA45">IFERROR(INDEX(Data_Cleaning!$N$2:$N$251,SMALL(IF(Data_Cleaning!$G$2:$G$251=$X5,ROW(Data_Cleaning!$G$2:$G$251)-ROW(Data_Cleaning!$G$2)+1),38)),"")</f>
        <v>999.96</v>
      </c>
    </row>
    <row r="46" spans="1:27" ht="15" customHeight="1" x14ac:dyDescent="0.35">
      <c r="A46" s="7" t="s">
        <v>83</v>
      </c>
      <c r="B46" s="7" t="str">
        <f>INDEX(Data_Cleaning!$D$2:$D$251,MATCH(A46,Data_Cleaning!$C$2:$C$251,0))</f>
        <v>Dennis Gray</v>
      </c>
      <c r="C46" s="8">
        <f>INDEX(Data_Cleaning!$M$2:$M$251,MATCH(A46,Data_Cleaning!$C$2:$C$251,0))</f>
        <v>45351</v>
      </c>
      <c r="D46" s="7">
        <f t="shared" ca="1" si="8"/>
        <v>2</v>
      </c>
      <c r="E46" s="9">
        <f>SUMIFS(Data_Cleaning!$N$2:$N$251,Data_Cleaning!$C$2:$C$251,A46)</f>
        <v>479.91999999999996</v>
      </c>
      <c r="F46" s="7">
        <f>COUNTIFS(Data_Cleaning!$C$2:$C$251,A46)</f>
        <v>2</v>
      </c>
      <c r="G46" s="9">
        <f t="shared" si="9"/>
        <v>239.95999999999998</v>
      </c>
      <c r="H46" s="7">
        <f t="shared" si="10"/>
        <v>48</v>
      </c>
      <c r="I46" s="7" t="str">
        <f t="shared" si="11"/>
        <v>Standard</v>
      </c>
      <c r="J46" s="7" t="str">
        <f>IF(COUNTIFS(Data_Cleaning!$C$2:$C$251,A46,Data_Cleaning!$F$2:$F$251,"Laptop")&gt;0,"Yes","No")</f>
        <v>No</v>
      </c>
      <c r="K46" s="7" t="str">
        <f>IF(AND(COUNTIFS(Data_Cleaning!$C$2:$C$251,A46,Data_Cleaning!$L$2:$L$251,"Premium")&gt;0,J46="Yes"),B46,"")</f>
        <v/>
      </c>
      <c r="L46" s="7" t="str">
        <f t="shared" si="12"/>
        <v>DEN-043</v>
      </c>
      <c r="W46" s="7" t="str">
        <f t="array" ref="W46">IFERROR(INDEX(Data_Cleaning!$A$2:$A$251,SMALL(IF(Data_Cleaning!$G$2:$G$251=$X5,ROW(Data_Cleaning!$G$2:$G$251)-ROW(Data_Cleaning!$G$2)+1),39)),"")</f>
        <v>TRX0080</v>
      </c>
      <c r="X46" s="8">
        <f t="array" ref="X46">IFERROR(INDEX(Data_Cleaning!$B$2:$B$251,SMALL(IF(Data_Cleaning!$G$2:$G$251=$X5,ROW(Data_Cleaning!$G$2:$G$251)-ROW(Data_Cleaning!$G$2)+1),39)),"")</f>
        <v>45500</v>
      </c>
      <c r="Y46" s="7" t="str">
        <f t="array" ref="Y46">IFERROR(INDEX(Data_Cleaning!$D$2:$D$251,SMALL(IF(Data_Cleaning!$G$2:$G$251=$X5,ROW(Data_Cleaning!$G$2:$G$251)-ROW(Data_Cleaning!$G$2)+1),39)),"")</f>
        <v>Barbara Young</v>
      </c>
      <c r="Z46" s="7" t="str">
        <f t="array" ref="Z46">IFERROR(INDEX(Data_Cleaning!$F$2:$F$251,SMALL(IF(Data_Cleaning!$G$2:$G$251=$X5,ROW(Data_Cleaning!$G$2:$G$251)-ROW(Data_Cleaning!$G$2)+1),39)),"")</f>
        <v>Monitor</v>
      </c>
      <c r="AA46" s="9">
        <f t="array" ref="AA46">IFERROR(INDEX(Data_Cleaning!$N$2:$N$251,SMALL(IF(Data_Cleaning!$G$2:$G$251=$X5,ROW(Data_Cleaning!$G$2:$G$251)-ROW(Data_Cleaning!$G$2)+1),39)),"")</f>
        <v>499.98</v>
      </c>
    </row>
    <row r="47" spans="1:27" ht="15" customHeight="1" x14ac:dyDescent="0.35">
      <c r="A47" s="7" t="s">
        <v>110</v>
      </c>
      <c r="B47" s="7" t="str">
        <f>INDEX(Data_Cleaning!$D$2:$D$251,MATCH(A47,Data_Cleaning!$C$2:$C$251,0))</f>
        <v>Cynthia Price</v>
      </c>
      <c r="C47" s="8">
        <f>INDEX(Data_Cleaning!$M$2:$M$251,MATCH(A47,Data_Cleaning!$C$2:$C$251,0))</f>
        <v>44468</v>
      </c>
      <c r="D47" s="7">
        <f t="shared" ca="1" si="8"/>
        <v>4</v>
      </c>
      <c r="E47" s="9">
        <f>SUMIFS(Data_Cleaning!$N$2:$N$251,Data_Cleaning!$C$2:$C$251,A47)</f>
        <v>3769.8300000000004</v>
      </c>
      <c r="F47" s="7">
        <f>COUNTIFS(Data_Cleaning!$C$2:$C$251,A47)</f>
        <v>5</v>
      </c>
      <c r="G47" s="9">
        <f t="shared" si="9"/>
        <v>753.96600000000012</v>
      </c>
      <c r="H47" s="7">
        <f t="shared" si="10"/>
        <v>29</v>
      </c>
      <c r="I47" s="7" t="str">
        <f t="shared" si="11"/>
        <v>Standard</v>
      </c>
      <c r="J47" s="7" t="str">
        <f>IF(COUNTIFS(Data_Cleaning!$C$2:$C$251,A47,Data_Cleaning!$F$2:$F$251,"Laptop")&gt;0,"Yes","No")</f>
        <v>No</v>
      </c>
      <c r="K47" s="7" t="str">
        <f>IF(AND(COUNTIFS(Data_Cleaning!$C$2:$C$251,A47,Data_Cleaning!$L$2:$L$251,"Premium")&gt;0,J47="Yes"),B47,"")</f>
        <v/>
      </c>
      <c r="L47" s="7" t="str">
        <f t="shared" si="12"/>
        <v>CYN-044</v>
      </c>
      <c r="W47" s="7" t="str">
        <f t="array" ref="W47">IFERROR(INDEX(Data_Cleaning!$A$2:$A$251,SMALL(IF(Data_Cleaning!$G$2:$G$251=$X5,ROW(Data_Cleaning!$G$2:$G$251)-ROW(Data_Cleaning!$G$2)+1),40)),"")</f>
        <v>TRX0157</v>
      </c>
      <c r="X47" s="8">
        <f t="array" ref="X47">IFERROR(INDEX(Data_Cleaning!$B$2:$B$251,SMALL(IF(Data_Cleaning!$G$2:$G$251=$X5,ROW(Data_Cleaning!$G$2:$G$251)-ROW(Data_Cleaning!$G$2)+1),40)),"")</f>
        <v>45501</v>
      </c>
      <c r="Y47" s="7" t="str">
        <f t="array" ref="Y47">IFERROR(INDEX(Data_Cleaning!$D$2:$D$251,SMALL(IF(Data_Cleaning!$G$2:$G$251=$X5,ROW(Data_Cleaning!$G$2:$G$251)-ROW(Data_Cleaning!$G$2)+1),40)),"")</f>
        <v>Mark Carter</v>
      </c>
      <c r="Z47" s="7" t="str">
        <f t="array" ref="Z47">IFERROR(INDEX(Data_Cleaning!$F$2:$F$251,SMALL(IF(Data_Cleaning!$G$2:$G$251=$X5,ROW(Data_Cleaning!$G$2:$G$251)-ROW(Data_Cleaning!$G$2)+1),40)),"")</f>
        <v>Keyboard</v>
      </c>
      <c r="AA47" s="9">
        <f t="array" ref="AA47">IFERROR(INDEX(Data_Cleaning!$N$2:$N$251,SMALL(IF(Data_Cleaning!$G$2:$G$251=$X5,ROW(Data_Cleaning!$G$2:$G$251)-ROW(Data_Cleaning!$G$2)+1),40)),"")</f>
        <v>179.98</v>
      </c>
    </row>
    <row r="48" spans="1:27" ht="15" customHeight="1" x14ac:dyDescent="0.35">
      <c r="A48" s="7" t="s">
        <v>301</v>
      </c>
      <c r="B48" s="7" t="str">
        <f>INDEX(Data_Cleaning!$D$2:$D$251,MATCH(A48,Data_Cleaning!$C$2:$C$251,0))</f>
        <v>Douglas Watson</v>
      </c>
      <c r="C48" s="8">
        <f>INDEX(Data_Cleaning!$M$2:$M$251,MATCH(A48,Data_Cleaning!$C$2:$C$251,0))</f>
        <v>44873</v>
      </c>
      <c r="D48" s="7">
        <f t="shared" ca="1" si="8"/>
        <v>3</v>
      </c>
      <c r="E48" s="9">
        <f>SUMIFS(Data_Cleaning!$N$2:$N$251,Data_Cleaning!$C$2:$C$251,A48)</f>
        <v>4829.8899999999994</v>
      </c>
      <c r="F48" s="7">
        <f>COUNTIFS(Data_Cleaning!$C$2:$C$251,A48)</f>
        <v>4</v>
      </c>
      <c r="G48" s="9">
        <f t="shared" si="9"/>
        <v>1207.4724999999999</v>
      </c>
      <c r="H48" s="7">
        <f t="shared" si="10"/>
        <v>21</v>
      </c>
      <c r="I48" s="7" t="str">
        <f t="shared" si="11"/>
        <v>Standard</v>
      </c>
      <c r="J48" s="7" t="str">
        <f>IF(COUNTIFS(Data_Cleaning!$C$2:$C$251,A48,Data_Cleaning!$F$2:$F$251,"Laptop")&gt;0,"Yes","No")</f>
        <v>No</v>
      </c>
      <c r="K48" s="7" t="str">
        <f>IF(AND(COUNTIFS(Data_Cleaning!$C$2:$C$251,A48,Data_Cleaning!$L$2:$L$251,"Premium")&gt;0,J48="Yes"),B48,"")</f>
        <v/>
      </c>
      <c r="L48" s="7" t="str">
        <f t="shared" si="12"/>
        <v>DOU-045</v>
      </c>
      <c r="W48" s="7" t="str">
        <f t="array" ref="W48">IFERROR(INDEX(Data_Cleaning!$A$2:$A$251,SMALL(IF(Data_Cleaning!$G$2:$G$251=$X5,ROW(Data_Cleaning!$G$2:$G$251)-ROW(Data_Cleaning!$G$2)+1),41)),"")</f>
        <v>TRX0217</v>
      </c>
      <c r="X48" s="8">
        <f t="array" ref="X48">IFERROR(INDEX(Data_Cleaning!$B$2:$B$251,SMALL(IF(Data_Cleaning!$G$2:$G$251=$X5,ROW(Data_Cleaning!$G$2:$G$251)-ROW(Data_Cleaning!$G$2)+1),41)),"")</f>
        <v>45503</v>
      </c>
      <c r="Y48" s="7" t="str">
        <f t="array" ref="Y48">IFERROR(INDEX(Data_Cleaning!$D$2:$D$251,SMALL(IF(Data_Cleaning!$G$2:$G$251=$X5,ROW(Data_Cleaning!$G$2:$G$251)-ROW(Data_Cleaning!$G$2)+1),41)),"")</f>
        <v>Mark Carter</v>
      </c>
      <c r="Z48" s="7" t="str">
        <f t="array" ref="Z48">IFERROR(INDEX(Data_Cleaning!$F$2:$F$251,SMALL(IF(Data_Cleaning!$G$2:$G$251=$X5,ROW(Data_Cleaning!$G$2:$G$251)-ROW(Data_Cleaning!$G$2)+1),41)),"")</f>
        <v>Smartphone</v>
      </c>
      <c r="AA48" s="9">
        <f t="array" ref="AA48">IFERROR(INDEX(Data_Cleaning!$N$2:$N$251,SMALL(IF(Data_Cleaning!$G$2:$G$251=$X5,ROW(Data_Cleaning!$G$2:$G$251)-ROW(Data_Cleaning!$G$2)+1),41)),"")</f>
        <v>1399.98</v>
      </c>
    </row>
    <row r="49" spans="1:27" ht="15" customHeight="1" x14ac:dyDescent="0.35">
      <c r="A49" s="7" t="s">
        <v>50</v>
      </c>
      <c r="B49" s="7" t="str">
        <f>INDEX(Data_Cleaning!$D$2:$D$251,MATCH(A49,Data_Cleaning!$C$2:$C$251,0))</f>
        <v>Kathleen Bennett</v>
      </c>
      <c r="C49" s="8">
        <f>INDEX(Data_Cleaning!$M$2:$M$251,MATCH(A49,Data_Cleaning!$C$2:$C$251,0))</f>
        <v>45114</v>
      </c>
      <c r="D49" s="7">
        <f t="shared" ca="1" si="8"/>
        <v>3</v>
      </c>
      <c r="E49" s="9">
        <f>SUMIFS(Data_Cleaning!$N$2:$N$251,Data_Cleaning!$C$2:$C$251,A49)</f>
        <v>4309.8099999999995</v>
      </c>
      <c r="F49" s="7">
        <f>COUNTIFS(Data_Cleaning!$C$2:$C$251,A49)</f>
        <v>6</v>
      </c>
      <c r="G49" s="9">
        <f t="shared" si="9"/>
        <v>718.30166666666662</v>
      </c>
      <c r="H49" s="7">
        <f t="shared" si="10"/>
        <v>25</v>
      </c>
      <c r="I49" s="7" t="str">
        <f t="shared" si="11"/>
        <v>Standard</v>
      </c>
      <c r="J49" s="7" t="str">
        <f>IF(COUNTIFS(Data_Cleaning!$C$2:$C$251,A49,Data_Cleaning!$F$2:$F$251,"Laptop")&gt;0,"Yes","No")</f>
        <v>No</v>
      </c>
      <c r="K49" s="7" t="str">
        <f>IF(AND(COUNTIFS(Data_Cleaning!$C$2:$C$251,A49,Data_Cleaning!$L$2:$L$251,"Premium")&gt;0,J49="Yes"),B49,"")</f>
        <v/>
      </c>
      <c r="L49" s="7" t="str">
        <f t="shared" si="12"/>
        <v>KAT-046</v>
      </c>
      <c r="W49" s="7" t="str">
        <f t="array" ref="W49">IFERROR(INDEX(Data_Cleaning!$A$2:$A$251,SMALL(IF(Data_Cleaning!$G$2:$G$251=$X5,ROW(Data_Cleaning!$G$2:$G$251)-ROW(Data_Cleaning!$G$2)+1),42)),"")</f>
        <v>TRX0249</v>
      </c>
      <c r="X49" s="8">
        <f t="array" ref="X49">IFERROR(INDEX(Data_Cleaning!$B$2:$B$251,SMALL(IF(Data_Cleaning!$G$2:$G$251=$X5,ROW(Data_Cleaning!$G$2:$G$251)-ROW(Data_Cleaning!$G$2)+1),42)),"")</f>
        <v>45504</v>
      </c>
      <c r="Y49" s="7" t="str">
        <f t="array" ref="Y49">IFERROR(INDEX(Data_Cleaning!$D$2:$D$251,SMALL(IF(Data_Cleaning!$G$2:$G$251=$X5,ROW(Data_Cleaning!$G$2:$G$251)-ROW(Data_Cleaning!$G$2)+1),42)),"")</f>
        <v>Helen Roberts</v>
      </c>
      <c r="Z49" s="7" t="str">
        <f t="array" ref="Z49">IFERROR(INDEX(Data_Cleaning!$F$2:$F$251,SMALL(IF(Data_Cleaning!$G$2:$G$251=$X5,ROW(Data_Cleaning!$G$2:$G$251)-ROW(Data_Cleaning!$G$2)+1),42)),"")</f>
        <v>Laptop</v>
      </c>
      <c r="AA49" s="9">
        <f t="array" ref="AA49">IFERROR(INDEX(Data_Cleaning!$N$2:$N$251,SMALL(IF(Data_Cleaning!$G$2:$G$251=$X5,ROW(Data_Cleaning!$G$2:$G$251)-ROW(Data_Cleaning!$G$2)+1),42)),"")</f>
        <v>3599.96</v>
      </c>
    </row>
    <row r="50" spans="1:27" ht="15" customHeight="1" x14ac:dyDescent="0.35">
      <c r="A50" s="7" t="s">
        <v>204</v>
      </c>
      <c r="B50" s="7" t="str">
        <f>INDEX(Data_Cleaning!$D$2:$D$251,MATCH(A50,Data_Cleaning!$C$2:$C$251,0))</f>
        <v>Gerald Murphy</v>
      </c>
      <c r="C50" s="8">
        <f>INDEX(Data_Cleaning!$M$2:$M$251,MATCH(A50,Data_Cleaning!$C$2:$C$251,0))</f>
        <v>45130</v>
      </c>
      <c r="D50" s="7">
        <f t="shared" ca="1" si="8"/>
        <v>3</v>
      </c>
      <c r="E50" s="9">
        <f>SUMIFS(Data_Cleaning!$N$2:$N$251,Data_Cleaning!$C$2:$C$251,A50)</f>
        <v>6379.87</v>
      </c>
      <c r="F50" s="7">
        <f>COUNTIFS(Data_Cleaning!$C$2:$C$251,A50)</f>
        <v>4</v>
      </c>
      <c r="G50" s="9">
        <f t="shared" si="9"/>
        <v>1594.9675</v>
      </c>
      <c r="H50" s="7">
        <f t="shared" si="10"/>
        <v>12</v>
      </c>
      <c r="I50" s="7" t="str">
        <f t="shared" si="11"/>
        <v>Standard</v>
      </c>
      <c r="J50" s="7" t="str">
        <f>IF(COUNTIFS(Data_Cleaning!$C$2:$C$251,A50,Data_Cleaning!$F$2:$F$251,"Laptop")&gt;0,"Yes","No")</f>
        <v>Yes</v>
      </c>
      <c r="K50" s="7" t="str">
        <f>IF(AND(COUNTIFS(Data_Cleaning!$C$2:$C$251,A50,Data_Cleaning!$L$2:$L$251,"Premium")&gt;0,J50="Yes"),B50,"")</f>
        <v>Gerald Murphy</v>
      </c>
      <c r="L50" s="7" t="str">
        <f t="shared" si="12"/>
        <v>GER-047</v>
      </c>
      <c r="W50" s="7" t="str">
        <f t="array" ref="W50">IFERROR(INDEX(Data_Cleaning!$A$2:$A$251,SMALL(IF(Data_Cleaning!$G$2:$G$251=$X5,ROW(Data_Cleaning!$G$2:$G$251)-ROW(Data_Cleaning!$G$2)+1),43)),"")</f>
        <v>TRX0101</v>
      </c>
      <c r="X50" s="8">
        <f t="array" ref="X50">IFERROR(INDEX(Data_Cleaning!$B$2:$B$251,SMALL(IF(Data_Cleaning!$G$2:$G$251=$X5,ROW(Data_Cleaning!$G$2:$G$251)-ROW(Data_Cleaning!$G$2)+1),43)),"")</f>
        <v>45513</v>
      </c>
      <c r="Y50" s="7" t="str">
        <f t="array" ref="Y50">IFERROR(INDEX(Data_Cleaning!$D$2:$D$251,SMALL(IF(Data_Cleaning!$G$2:$G$251=$X5,ROW(Data_Cleaning!$G$2:$G$251)-ROW(Data_Cleaning!$G$2)+1),43)),"")</f>
        <v>Maria Garcia</v>
      </c>
      <c r="Z50" s="7" t="str">
        <f t="array" ref="Z50">IFERROR(INDEX(Data_Cleaning!$F$2:$F$251,SMALL(IF(Data_Cleaning!$G$2:$G$251=$X5,ROW(Data_Cleaning!$G$2:$G$251)-ROW(Data_Cleaning!$G$2)+1),43)),"")</f>
        <v>Keyboard</v>
      </c>
      <c r="AA50" s="9">
        <f t="array" ref="AA50">IFERROR(INDEX(Data_Cleaning!$N$2:$N$251,SMALL(IF(Data_Cleaning!$G$2:$G$251=$X5,ROW(Data_Cleaning!$G$2:$G$251)-ROW(Data_Cleaning!$G$2)+1),43)),"")</f>
        <v>89.99</v>
      </c>
    </row>
    <row r="51" spans="1:27" ht="15" customHeight="1" x14ac:dyDescent="0.35">
      <c r="A51" s="7" t="s">
        <v>101</v>
      </c>
      <c r="B51" s="7" t="str">
        <f>INDEX(Data_Cleaning!$D$2:$D$251,MATCH(A51,Data_Cleaning!$C$2:$C$251,0))</f>
        <v>Virginia Sanders</v>
      </c>
      <c r="C51" s="8">
        <f>INDEX(Data_Cleaning!$M$2:$M$251,MATCH(A51,Data_Cleaning!$C$2:$C$251,0))</f>
        <v>45224</v>
      </c>
      <c r="D51" s="7">
        <f t="shared" ca="1" si="8"/>
        <v>2</v>
      </c>
      <c r="E51" s="9">
        <f>SUMIFS(Data_Cleaning!$N$2:$N$251,Data_Cleaning!$C$2:$C$251,A51)</f>
        <v>4789.7900000000009</v>
      </c>
      <c r="F51" s="7">
        <f>COUNTIFS(Data_Cleaning!$C$2:$C$251,A51)</f>
        <v>6</v>
      </c>
      <c r="G51" s="9">
        <f t="shared" si="9"/>
        <v>798.29833333333352</v>
      </c>
      <c r="H51" s="7">
        <f t="shared" si="10"/>
        <v>22</v>
      </c>
      <c r="I51" s="7" t="str">
        <f t="shared" si="11"/>
        <v>Standard</v>
      </c>
      <c r="J51" s="7" t="str">
        <f>IF(COUNTIFS(Data_Cleaning!$C$2:$C$251,A51,Data_Cleaning!$F$2:$F$251,"Laptop")&gt;0,"Yes","No")</f>
        <v>No</v>
      </c>
      <c r="K51" s="7" t="str">
        <f>IF(AND(COUNTIFS(Data_Cleaning!$C$2:$C$251,A51,Data_Cleaning!$L$2:$L$251,"Premium")&gt;0,J51="Yes"),B51,"")</f>
        <v/>
      </c>
      <c r="L51" s="7" t="str">
        <f t="shared" si="12"/>
        <v>VIR-048</v>
      </c>
      <c r="W51" s="7" t="str">
        <f t="array" ref="W51">IFERROR(INDEX(Data_Cleaning!$A$2:$A$251,SMALL(IF(Data_Cleaning!$G$2:$G$251=$X5,ROW(Data_Cleaning!$G$2:$G$251)-ROW(Data_Cleaning!$G$2)+1),44)),"")</f>
        <v>TRX0020</v>
      </c>
      <c r="X51" s="8">
        <f t="array" ref="X51">IFERROR(INDEX(Data_Cleaning!$B$2:$B$251,SMALL(IF(Data_Cleaning!$G$2:$G$251=$X5,ROW(Data_Cleaning!$G$2:$G$251)-ROW(Data_Cleaning!$G$2)+1),44)),"")</f>
        <v>45517</v>
      </c>
      <c r="Y51" s="7" t="str">
        <f t="array" ref="Y51">IFERROR(INDEX(Data_Cleaning!$D$2:$D$251,SMALL(IF(Data_Cleaning!$G$2:$G$251=$X5,ROW(Data_Cleaning!$G$2:$G$251)-ROW(Data_Cleaning!$G$2)+1),44)),"")</f>
        <v>David Martinez</v>
      </c>
      <c r="Z51" s="7" t="str">
        <f t="array" ref="Z51">IFERROR(INDEX(Data_Cleaning!$F$2:$F$251,SMALL(IF(Data_Cleaning!$G$2:$G$251=$X5,ROW(Data_Cleaning!$G$2:$G$251)-ROW(Data_Cleaning!$G$2)+1),44)),"")</f>
        <v>Headphones</v>
      </c>
      <c r="AA51" s="9">
        <f t="array" ref="AA51">IFERROR(INDEX(Data_Cleaning!$N$2:$N$251,SMALL(IF(Data_Cleaning!$G$2:$G$251=$X5,ROW(Data_Cleaning!$G$2:$G$251)-ROW(Data_Cleaning!$G$2)+1),44)),"")</f>
        <v>599.96</v>
      </c>
    </row>
    <row r="52" spans="1:27" ht="15" customHeight="1" x14ac:dyDescent="0.35">
      <c r="A52" s="7" t="s">
        <v>179</v>
      </c>
      <c r="B52" s="7" t="str">
        <f>INDEX(Data_Cleaning!$D$2:$D$251,MATCH(A52,Data_Cleaning!$C$2:$C$251,0))</f>
        <v>Raymond Ross</v>
      </c>
      <c r="C52" s="8">
        <f>INDEX(Data_Cleaning!$M$2:$M$251,MATCH(A52,Data_Cleaning!$C$2:$C$251,0))</f>
        <v>45281</v>
      </c>
      <c r="D52" s="7">
        <f t="shared" ca="1" si="8"/>
        <v>2</v>
      </c>
      <c r="E52" s="9">
        <f>SUMIFS(Data_Cleaning!$N$2:$N$251,Data_Cleaning!$C$2:$C$251,A52)</f>
        <v>3669.8500000000004</v>
      </c>
      <c r="F52" s="7">
        <f>COUNTIFS(Data_Cleaning!$C$2:$C$251,A52)</f>
        <v>4</v>
      </c>
      <c r="G52" s="9">
        <f t="shared" si="9"/>
        <v>917.46250000000009</v>
      </c>
      <c r="H52" s="7">
        <f t="shared" si="10"/>
        <v>30</v>
      </c>
      <c r="I52" s="7" t="str">
        <f t="shared" si="11"/>
        <v>Standard</v>
      </c>
      <c r="J52" s="7" t="str">
        <f>IF(COUNTIFS(Data_Cleaning!$C$2:$C$251,A52,Data_Cleaning!$F$2:$F$251,"Laptop")&gt;0,"Yes","No")</f>
        <v>No</v>
      </c>
      <c r="K52" s="7" t="str">
        <f>IF(AND(COUNTIFS(Data_Cleaning!$C$2:$C$251,A52,Data_Cleaning!$L$2:$L$251,"Premium")&gt;0,J52="Yes"),B52,"")</f>
        <v/>
      </c>
      <c r="L52" s="7" t="str">
        <f t="shared" si="12"/>
        <v>RAY-049</v>
      </c>
      <c r="W52" s="7" t="str">
        <f t="array" ref="W52">IFERROR(INDEX(Data_Cleaning!$A$2:$A$251,SMALL(IF(Data_Cleaning!$G$2:$G$251=$X5,ROW(Data_Cleaning!$G$2:$G$251)-ROW(Data_Cleaning!$G$2)+1),45)),"")</f>
        <v>TRX0075</v>
      </c>
      <c r="X52" s="8">
        <f t="array" ref="X52">IFERROR(INDEX(Data_Cleaning!$B$2:$B$251,SMALL(IF(Data_Cleaning!$G$2:$G$251=$X5,ROW(Data_Cleaning!$G$2:$G$251)-ROW(Data_Cleaning!$G$2)+1),45)),"")</f>
        <v>45517</v>
      </c>
      <c r="Y52" s="7" t="str">
        <f t="array" ref="Y52">IFERROR(INDEX(Data_Cleaning!$D$2:$D$251,SMALL(IF(Data_Cleaning!$G$2:$G$251=$X5,ROW(Data_Cleaning!$G$2:$G$251)-ROW(Data_Cleaning!$G$2)+1),45)),"")</f>
        <v>Margaret Wright</v>
      </c>
      <c r="Z52" s="7" t="str">
        <f t="array" ref="Z52">IFERROR(INDEX(Data_Cleaning!$F$2:$F$251,SMALL(IF(Data_Cleaning!$G$2:$G$251=$X5,ROW(Data_Cleaning!$G$2:$G$251)-ROW(Data_Cleaning!$G$2)+1),45)),"")</f>
        <v>Monitor</v>
      </c>
      <c r="AA52" s="9">
        <f t="array" ref="AA52">IFERROR(INDEX(Data_Cleaning!$N$2:$N$251,SMALL(IF(Data_Cleaning!$G$2:$G$251=$X5,ROW(Data_Cleaning!$G$2:$G$251)-ROW(Data_Cleaning!$G$2)+1),45)),"")</f>
        <v>1249.95</v>
      </c>
    </row>
    <row r="53" spans="1:27" ht="15" customHeight="1" x14ac:dyDescent="0.35">
      <c r="A53" s="7" t="s">
        <v>170</v>
      </c>
      <c r="B53" s="7" t="str">
        <f>INDEX(Data_Cleaning!$D$2:$D$251,MATCH(A53,Data_Cleaning!$C$2:$C$251,0))</f>
        <v>Julie Foster</v>
      </c>
      <c r="C53" s="8">
        <f>INDEX(Data_Cleaning!$M$2:$M$251,MATCH(A53,Data_Cleaning!$C$2:$C$251,0))</f>
        <v>44435</v>
      </c>
      <c r="D53" s="7">
        <f t="shared" ca="1" si="8"/>
        <v>5</v>
      </c>
      <c r="E53" s="9">
        <f>SUMIFS(Data_Cleaning!$N$2:$N$251,Data_Cleaning!$C$2:$C$251,A53)</f>
        <v>239.96</v>
      </c>
      <c r="F53" s="7">
        <f>COUNTIFS(Data_Cleaning!$C$2:$C$251,A53)</f>
        <v>1</v>
      </c>
      <c r="G53" s="9">
        <f t="shared" si="9"/>
        <v>239.96</v>
      </c>
      <c r="H53" s="7">
        <f t="shared" si="10"/>
        <v>49</v>
      </c>
      <c r="I53" s="7" t="str">
        <f t="shared" si="11"/>
        <v>Standard</v>
      </c>
      <c r="J53" s="7" t="str">
        <f>IF(COUNTIFS(Data_Cleaning!$C$2:$C$251,A53,Data_Cleaning!$F$2:$F$251,"Laptop")&gt;0,"Yes","No")</f>
        <v>No</v>
      </c>
      <c r="K53" s="7" t="str">
        <f>IF(AND(COUNTIFS(Data_Cleaning!$C$2:$C$251,A53,Data_Cleaning!$L$2:$L$251,"Premium")&gt;0,J53="Yes"),B53,"")</f>
        <v/>
      </c>
      <c r="L53" s="7" t="str">
        <f t="shared" si="12"/>
        <v>JUL-050</v>
      </c>
      <c r="W53" s="7" t="str">
        <f t="array" ref="W53">IFERROR(INDEX(Data_Cleaning!$A$2:$A$251,SMALL(IF(Data_Cleaning!$G$2:$G$251=$X5,ROW(Data_Cleaning!$G$2:$G$251)-ROW(Data_Cleaning!$G$2)+1),46)),"")</f>
        <v>TRX0098</v>
      </c>
      <c r="X53" s="8">
        <f t="array" ref="X53">IFERROR(INDEX(Data_Cleaning!$B$2:$B$251,SMALL(IF(Data_Cleaning!$G$2:$G$251=$X5,ROW(Data_Cleaning!$G$2:$G$251)-ROW(Data_Cleaning!$G$2)+1),46)),"")</f>
        <v>45517</v>
      </c>
      <c r="Y53" s="7" t="str">
        <f t="array" ref="Y53">IFERROR(INDEX(Data_Cleaning!$D$2:$D$251,SMALL(IF(Data_Cleaning!$G$2:$G$251=$X5,ROW(Data_Cleaning!$G$2:$G$251)-ROW(Data_Cleaning!$G$2)+1),46)),"")</f>
        <v>Karen Hill</v>
      </c>
      <c r="Z53" s="7" t="str">
        <f t="array" ref="Z53">IFERROR(INDEX(Data_Cleaning!$F$2:$F$251,SMALL(IF(Data_Cleaning!$G$2:$G$251=$X5,ROW(Data_Cleaning!$G$2:$G$251)-ROW(Data_Cleaning!$G$2)+1),46)),"")</f>
        <v>Monitor</v>
      </c>
      <c r="AA53" s="9">
        <f t="array" ref="AA53">IFERROR(INDEX(Data_Cleaning!$N$2:$N$251,SMALL(IF(Data_Cleaning!$G$2:$G$251=$X5,ROW(Data_Cleaning!$G$2:$G$251)-ROW(Data_Cleaning!$G$2)+1),46)),"")</f>
        <v>749.97</v>
      </c>
    </row>
    <row r="54" spans="1:27" ht="14.25" customHeight="1" x14ac:dyDescent="0.35">
      <c r="W54" s="7" t="str">
        <f t="array" ref="W54">IFERROR(INDEX(Data_Cleaning!$A$2:$A$251,SMALL(IF(Data_Cleaning!$G$2:$G$251=$X5,ROW(Data_Cleaning!$G$2:$G$251)-ROW(Data_Cleaning!$G$2)+1),47)),"")</f>
        <v>TRX0140</v>
      </c>
      <c r="X54" s="8">
        <f t="array" ref="X54">IFERROR(INDEX(Data_Cleaning!$B$2:$B$251,SMALL(IF(Data_Cleaning!$G$2:$G$251=$X5,ROW(Data_Cleaning!$G$2:$G$251)-ROW(Data_Cleaning!$G$2)+1),47)),"")</f>
        <v>45522</v>
      </c>
      <c r="Y54" s="7" t="str">
        <f t="array" ref="Y54">IFERROR(INDEX(Data_Cleaning!$D$2:$D$251,SMALL(IF(Data_Cleaning!$G$2:$G$251=$X5,ROW(Data_Cleaning!$G$2:$G$251)-ROW(Data_Cleaning!$G$2)+1),47)),"")</f>
        <v>Mark Carter</v>
      </c>
      <c r="Z54" s="7" t="str">
        <f t="array" ref="Z54">IFERROR(INDEX(Data_Cleaning!$F$2:$F$251,SMALL(IF(Data_Cleaning!$G$2:$G$251=$X5,ROW(Data_Cleaning!$G$2:$G$251)-ROW(Data_Cleaning!$G$2)+1),47)),"")</f>
        <v>Keyboard</v>
      </c>
      <c r="AA54" s="9">
        <f t="array" ref="AA54">IFERROR(INDEX(Data_Cleaning!$N$2:$N$251,SMALL(IF(Data_Cleaning!$G$2:$G$251=$X5,ROW(Data_Cleaning!$G$2:$G$251)-ROW(Data_Cleaning!$G$2)+1),47)),"")</f>
        <v>179.98</v>
      </c>
    </row>
    <row r="55" spans="1:27" ht="15.75" customHeight="1" x14ac:dyDescent="0.35">
      <c r="W55" s="7" t="str">
        <f t="array" ref="W55">IFERROR(INDEX(Data_Cleaning!$A$2:$A$251,SMALL(IF(Data_Cleaning!$G$2:$G$251=$X5,ROW(Data_Cleaning!$G$2:$G$251)-ROW(Data_Cleaning!$G$2)+1),48)),"")</f>
        <v>TRX0132</v>
      </c>
      <c r="X55" s="8">
        <f t="array" ref="X55">IFERROR(INDEX(Data_Cleaning!$B$2:$B$251,SMALL(IF(Data_Cleaning!$G$2:$G$251=$X5,ROW(Data_Cleaning!$G$2:$G$251)-ROW(Data_Cleaning!$G$2)+1),48)),"")</f>
        <v>45523</v>
      </c>
      <c r="Y55" s="7" t="str">
        <f t="array" ref="Y55">IFERROR(INDEX(Data_Cleaning!$D$2:$D$251,SMALL(IF(Data_Cleaning!$G$2:$G$251=$X5,ROW(Data_Cleaning!$G$2:$G$251)-ROW(Data_Cleaning!$G$2)+1),48)),"")</f>
        <v>Gerald Murphy</v>
      </c>
      <c r="Z55" s="7" t="str">
        <f t="array" ref="Z55">IFERROR(INDEX(Data_Cleaning!$F$2:$F$251,SMALL(IF(Data_Cleaning!$G$2:$G$251=$X5,ROW(Data_Cleaning!$G$2:$G$251)-ROW(Data_Cleaning!$G$2)+1),48)),"")</f>
        <v>Laptop</v>
      </c>
      <c r="AA55" s="9">
        <f t="array" ref="AA55">IFERROR(INDEX(Data_Cleaning!$N$2:$N$251,SMALL(IF(Data_Cleaning!$G$2:$G$251=$X5,ROW(Data_Cleaning!$G$2:$G$251)-ROW(Data_Cleaning!$G$2)+1),48)),"")</f>
        <v>4499.95</v>
      </c>
    </row>
    <row r="56" spans="1:27" ht="14.25" customHeight="1" x14ac:dyDescent="0.35">
      <c r="W56" s="7" t="str">
        <f t="array" ref="W56">IFERROR(INDEX(Data_Cleaning!$A$2:$A$251,SMALL(IF(Data_Cleaning!$G$2:$G$251=$X5,ROW(Data_Cleaning!$G$2:$G$251)-ROW(Data_Cleaning!$G$2)+1),49)),"")</f>
        <v>TRX0031</v>
      </c>
      <c r="X56" s="8">
        <f t="array" ref="X56">IFERROR(INDEX(Data_Cleaning!$B$2:$B$251,SMALL(IF(Data_Cleaning!$G$2:$G$251=$X5,ROW(Data_Cleaning!$G$2:$G$251)-ROW(Data_Cleaning!$G$2)+1),49)),"")</f>
        <v>45523</v>
      </c>
      <c r="Y56" s="7" t="str">
        <f t="array" ref="Y56">IFERROR(INDEX(Data_Cleaning!$D$2:$D$251,SMALL(IF(Data_Cleaning!$G$2:$G$251=$X5,ROW(Data_Cleaning!$G$2:$G$251)-ROW(Data_Cleaning!$G$2)+1),49)),"")</f>
        <v>Nancy Collins</v>
      </c>
      <c r="Z56" s="7" t="str">
        <f t="array" ref="Z56">IFERROR(INDEX(Data_Cleaning!$F$2:$F$251,SMALL(IF(Data_Cleaning!$G$2:$G$251=$X5,ROW(Data_Cleaning!$G$2:$G$251)-ROW(Data_Cleaning!$G$2)+1),49)),"")</f>
        <v>Headphones</v>
      </c>
      <c r="AA56" s="9">
        <f t="array" ref="AA56">IFERROR(INDEX(Data_Cleaning!$N$2:$N$251,SMALL(IF(Data_Cleaning!$G$2:$G$251=$X5,ROW(Data_Cleaning!$G$2:$G$251)-ROW(Data_Cleaning!$G$2)+1),49)),"")</f>
        <v>449.97</v>
      </c>
    </row>
    <row r="57" spans="1:27" ht="15" customHeight="1" x14ac:dyDescent="0.35">
      <c r="W57" s="7" t="str">
        <f t="array" ref="W57">IFERROR(INDEX(Data_Cleaning!$A$2:$A$251,SMALL(IF(Data_Cleaning!$G$2:$G$251=$X5,ROW(Data_Cleaning!$G$2:$G$251)-ROW(Data_Cleaning!$G$2)+1),50)),"")</f>
        <v>TRX0037</v>
      </c>
      <c r="X57" s="8">
        <f t="array" ref="X57">IFERROR(INDEX(Data_Cleaning!$B$2:$B$251,SMALL(IF(Data_Cleaning!$G$2:$G$251=$X5,ROW(Data_Cleaning!$G$2:$G$251)-ROW(Data_Cleaning!$G$2)+1),50)),"")</f>
        <v>45528</v>
      </c>
      <c r="Y57" s="7" t="str">
        <f t="array" ref="Y57">IFERROR(INDEX(Data_Cleaning!$D$2:$D$251,SMALL(IF(Data_Cleaning!$G$2:$G$251=$X5,ROW(Data_Cleaning!$G$2:$G$251)-ROW(Data_Cleaning!$G$2)+1),50)),"")</f>
        <v>Harry Morgan</v>
      </c>
      <c r="Z57" s="7" t="str">
        <f t="array" ref="Z57">IFERROR(INDEX(Data_Cleaning!$F$2:$F$251,SMALL(IF(Data_Cleaning!$G$2:$G$251=$X5,ROW(Data_Cleaning!$G$2:$G$251)-ROW(Data_Cleaning!$G$2)+1),50)),"")</f>
        <v>Monitor</v>
      </c>
      <c r="AA57" s="9">
        <f t="array" ref="AA57">IFERROR(INDEX(Data_Cleaning!$N$2:$N$251,SMALL(IF(Data_Cleaning!$G$2:$G$251=$X5,ROW(Data_Cleaning!$G$2:$G$251)-ROW(Data_Cleaning!$G$2)+1),50)),"")</f>
        <v>499.98</v>
      </c>
    </row>
    <row r="58" spans="1:27" ht="15" customHeight="1" x14ac:dyDescent="0.35">
      <c r="W58" s="7" t="str">
        <f t="array" ref="W58">IFERROR(INDEX(Data_Cleaning!$A$2:$A$251,SMALL(IF(Data_Cleaning!$G$2:$G$251=$X5,ROW(Data_Cleaning!$G$2:$G$251)-ROW(Data_Cleaning!$G$2)+1),51)),"")</f>
        <v>TRX0058</v>
      </c>
      <c r="X58" s="8">
        <f t="array" ref="X58">IFERROR(INDEX(Data_Cleaning!$B$2:$B$251,SMALL(IF(Data_Cleaning!$G$2:$G$251=$X5,ROW(Data_Cleaning!$G$2:$G$251)-ROW(Data_Cleaning!$G$2)+1),51)),"")</f>
        <v>45532</v>
      </c>
      <c r="Y58" s="7" t="str">
        <f t="array" ref="Y58">IFERROR(INDEX(Data_Cleaning!$D$2:$D$251,SMALL(IF(Data_Cleaning!$G$2:$G$251=$X5,ROW(Data_Cleaning!$G$2:$G$251)-ROW(Data_Cleaning!$G$2)+1),51)),"")</f>
        <v>Gerald Murphy</v>
      </c>
      <c r="Z58" s="7" t="str">
        <f t="array" ref="Z58">IFERROR(INDEX(Data_Cleaning!$F$2:$F$251,SMALL(IF(Data_Cleaning!$G$2:$G$251=$X5,ROW(Data_Cleaning!$G$2:$G$251)-ROW(Data_Cleaning!$G$2)+1),51)),"")</f>
        <v>Smartphone</v>
      </c>
      <c r="AA58" s="9">
        <f t="array" ref="AA58">IFERROR(INDEX(Data_Cleaning!$N$2:$N$251,SMALL(IF(Data_Cleaning!$G$2:$G$251=$X5,ROW(Data_Cleaning!$G$2:$G$251)-ROW(Data_Cleaning!$G$2)+1),51)),"")</f>
        <v>699.99</v>
      </c>
    </row>
    <row r="59" spans="1:27" ht="15" customHeight="1" x14ac:dyDescent="0.35">
      <c r="W59" s="7" t="str">
        <f t="array" ref="W59">IFERROR(INDEX(Data_Cleaning!$A$2:$A$251,SMALL(IF(Data_Cleaning!$G$2:$G$251=$X5,ROW(Data_Cleaning!$G$2:$G$251)-ROW(Data_Cleaning!$G$2)+1),52)),"")</f>
        <v>TRX0170</v>
      </c>
      <c r="X59" s="8">
        <f t="array" ref="X59">IFERROR(INDEX(Data_Cleaning!$B$2:$B$251,SMALL(IF(Data_Cleaning!$G$2:$G$251=$X5,ROW(Data_Cleaning!$G$2:$G$251)-ROW(Data_Cleaning!$G$2)+1),52)),"")</f>
        <v>45532</v>
      </c>
      <c r="Y59" s="7" t="str">
        <f t="array" ref="Y59">IFERROR(INDEX(Data_Cleaning!$D$2:$D$251,SMALL(IF(Data_Cleaning!$G$2:$G$251=$X5,ROW(Data_Cleaning!$G$2:$G$251)-ROW(Data_Cleaning!$G$2)+1),52)),"")</f>
        <v>Carol Evans</v>
      </c>
      <c r="Z59" s="7" t="str">
        <f t="array" ref="Z59">IFERROR(INDEX(Data_Cleaning!$F$2:$F$251,SMALL(IF(Data_Cleaning!$G$2:$G$251=$X5,ROW(Data_Cleaning!$G$2:$G$251)-ROW(Data_Cleaning!$G$2)+1),52)),"")</f>
        <v>Headphones</v>
      </c>
      <c r="AA59" s="9">
        <f t="array" ref="AA59">IFERROR(INDEX(Data_Cleaning!$N$2:$N$251,SMALL(IF(Data_Cleaning!$G$2:$G$251=$X5,ROW(Data_Cleaning!$G$2:$G$251)-ROW(Data_Cleaning!$G$2)+1),52)),"")</f>
        <v>449.97</v>
      </c>
    </row>
    <row r="60" spans="1:27" ht="15" customHeight="1" x14ac:dyDescent="0.35">
      <c r="W60" s="7" t="str">
        <f t="array" ref="W60">IFERROR(INDEX(Data_Cleaning!$A$2:$A$251,SMALL(IF(Data_Cleaning!$G$2:$G$251=$X5,ROW(Data_Cleaning!$G$2:$G$251)-ROW(Data_Cleaning!$G$2)+1),53)),"")</f>
        <v>TRX0248</v>
      </c>
      <c r="X60" s="8">
        <f t="array" ref="X60">IFERROR(INDEX(Data_Cleaning!$B$2:$B$251,SMALL(IF(Data_Cleaning!$G$2:$G$251=$X5,ROW(Data_Cleaning!$G$2:$G$251)-ROW(Data_Cleaning!$G$2)+1),53)),"")</f>
        <v>45534</v>
      </c>
      <c r="Y60" s="7" t="str">
        <f t="array" ref="Y60">IFERROR(INDEX(Data_Cleaning!$D$2:$D$251,SMALL(IF(Data_Cleaning!$G$2:$G$251=$X5,ROW(Data_Cleaning!$G$2:$G$251)-ROW(Data_Cleaning!$G$2)+1),53)),"")</f>
        <v>Sandra Phillips</v>
      </c>
      <c r="Z60" s="7" t="str">
        <f t="array" ref="Z60">IFERROR(INDEX(Data_Cleaning!$F$2:$F$251,SMALL(IF(Data_Cleaning!$G$2:$G$251=$X5,ROW(Data_Cleaning!$G$2:$G$251)-ROW(Data_Cleaning!$G$2)+1),53)),"")</f>
        <v>Smartphone</v>
      </c>
      <c r="AA60" s="9">
        <f t="array" ref="AA60">IFERROR(INDEX(Data_Cleaning!$N$2:$N$251,SMALL(IF(Data_Cleaning!$G$2:$G$251=$X5,ROW(Data_Cleaning!$G$2:$G$251)-ROW(Data_Cleaning!$G$2)+1),53)),"")</f>
        <v>1399.98</v>
      </c>
    </row>
    <row r="61" spans="1:27" ht="15" customHeight="1" x14ac:dyDescent="0.35">
      <c r="W61" s="7" t="str">
        <f t="array" ref="W61">IFERROR(INDEX(Data_Cleaning!$A$2:$A$251,SMALL(IF(Data_Cleaning!$G$2:$G$251=$X5,ROW(Data_Cleaning!$G$2:$G$251)-ROW(Data_Cleaning!$G$2)+1),54)),"")</f>
        <v>TRX0099</v>
      </c>
      <c r="X61" s="8">
        <f t="array" ref="X61">IFERROR(INDEX(Data_Cleaning!$B$2:$B$251,SMALL(IF(Data_Cleaning!$G$2:$G$251=$X5,ROW(Data_Cleaning!$G$2:$G$251)-ROW(Data_Cleaning!$G$2)+1),54)),"")</f>
        <v>45537</v>
      </c>
      <c r="Y61" s="7" t="str">
        <f t="array" ref="Y61">IFERROR(INDEX(Data_Cleaning!$D$2:$D$251,SMALL(IF(Data_Cleaning!$G$2:$G$251=$X5,ROW(Data_Cleaning!$G$2:$G$251)-ROW(Data_Cleaning!$G$2)+1),54)),"")</f>
        <v>Carol Evans</v>
      </c>
      <c r="Z61" s="7" t="str">
        <f t="array" ref="Z61">IFERROR(INDEX(Data_Cleaning!$F$2:$F$251,SMALL(IF(Data_Cleaning!$G$2:$G$251=$X5,ROW(Data_Cleaning!$G$2:$G$251)-ROW(Data_Cleaning!$G$2)+1),54)),"")</f>
        <v>Monitor</v>
      </c>
      <c r="AA61" s="9">
        <f t="array" ref="AA61">IFERROR(INDEX(Data_Cleaning!$N$2:$N$251,SMALL(IF(Data_Cleaning!$G$2:$G$251=$X5,ROW(Data_Cleaning!$G$2:$G$251)-ROW(Data_Cleaning!$G$2)+1),54)),"")</f>
        <v>249.99</v>
      </c>
    </row>
    <row r="62" spans="1:27" ht="15" customHeight="1" x14ac:dyDescent="0.35">
      <c r="W62" s="7" t="str">
        <f t="array" ref="W62">IFERROR(INDEX(Data_Cleaning!$A$2:$A$251,SMALL(IF(Data_Cleaning!$G$2:$G$251=$X5,ROW(Data_Cleaning!$G$2:$G$251)-ROW(Data_Cleaning!$G$2)+1),55)),"")</f>
        <v>TRX0074</v>
      </c>
      <c r="X62" s="8">
        <f t="array" ref="X62">IFERROR(INDEX(Data_Cleaning!$B$2:$B$251,SMALL(IF(Data_Cleaning!$G$2:$G$251=$X5,ROW(Data_Cleaning!$G$2:$G$251)-ROW(Data_Cleaning!$G$2)+1),55)),"")</f>
        <v>45537</v>
      </c>
      <c r="Y62" s="7" t="str">
        <f t="array" ref="Y62">IFERROR(INDEX(Data_Cleaning!$D$2:$D$251,SMALL(IF(Data_Cleaning!$G$2:$G$251=$X5,ROW(Data_Cleaning!$G$2:$G$251)-ROW(Data_Cleaning!$G$2)+1),55)),"")</f>
        <v>Paul Baker</v>
      </c>
      <c r="Z62" s="7" t="str">
        <f t="array" ref="Z62">IFERROR(INDEX(Data_Cleaning!$F$2:$F$251,SMALL(IF(Data_Cleaning!$G$2:$G$251=$X5,ROW(Data_Cleaning!$G$2:$G$251)-ROW(Data_Cleaning!$G$2)+1),55)),"")</f>
        <v>Monitor</v>
      </c>
      <c r="AA62" s="9">
        <f t="array" ref="AA62">IFERROR(INDEX(Data_Cleaning!$N$2:$N$251,SMALL(IF(Data_Cleaning!$G$2:$G$251=$X5,ROW(Data_Cleaning!$G$2:$G$251)-ROW(Data_Cleaning!$G$2)+1),55)),"")</f>
        <v>249.99</v>
      </c>
    </row>
    <row r="63" spans="1:27" ht="15" customHeight="1" x14ac:dyDescent="0.35">
      <c r="W63" s="7" t="str">
        <f t="array" ref="W63">IFERROR(INDEX(Data_Cleaning!$A$2:$A$251,SMALL(IF(Data_Cleaning!$G$2:$G$251=$X5,ROW(Data_Cleaning!$G$2:$G$251)-ROW(Data_Cleaning!$G$2)+1),56)),"")</f>
        <v>TRX0225</v>
      </c>
      <c r="X63" s="8">
        <f t="array" ref="X63">IFERROR(INDEX(Data_Cleaning!$B$2:$B$251,SMALL(IF(Data_Cleaning!$G$2:$G$251=$X5,ROW(Data_Cleaning!$G$2:$G$251)-ROW(Data_Cleaning!$G$2)+1),56)),"")</f>
        <v>45538</v>
      </c>
      <c r="Y63" s="7" t="str">
        <f t="array" ref="Y63">IFERROR(INDEX(Data_Cleaning!$D$2:$D$251,SMALL(IF(Data_Cleaning!$G$2:$G$251=$X5,ROW(Data_Cleaning!$G$2:$G$251)-ROW(Data_Cleaning!$G$2)+1),56)),"")</f>
        <v>Lawrence Reed</v>
      </c>
      <c r="Z63" s="7" t="str">
        <f t="array" ref="Z63">IFERROR(INDEX(Data_Cleaning!$F$2:$F$251,SMALL(IF(Data_Cleaning!$G$2:$G$251=$X5,ROW(Data_Cleaning!$G$2:$G$251)-ROW(Data_Cleaning!$G$2)+1),56)),"")</f>
        <v>Smartphone</v>
      </c>
      <c r="AA63" s="9">
        <f t="array" ref="AA63">IFERROR(INDEX(Data_Cleaning!$N$2:$N$251,SMALL(IF(Data_Cleaning!$G$2:$G$251=$X5,ROW(Data_Cleaning!$G$2:$G$251)-ROW(Data_Cleaning!$G$2)+1),56)),"")</f>
        <v>1399.98</v>
      </c>
    </row>
    <row r="64" spans="1:27" ht="15" customHeight="1" x14ac:dyDescent="0.35">
      <c r="W64" s="7" t="str">
        <f t="array" ref="W64">IFERROR(INDEX(Data_Cleaning!$A$2:$A$251,SMALL(IF(Data_Cleaning!$G$2:$G$251=$X5,ROW(Data_Cleaning!$G$2:$G$251)-ROW(Data_Cleaning!$G$2)+1),57)),"")</f>
        <v>TRX0211</v>
      </c>
      <c r="X64" s="8">
        <f t="array" ref="X64">IFERROR(INDEX(Data_Cleaning!$B$2:$B$251,SMALL(IF(Data_Cleaning!$G$2:$G$251=$X5,ROW(Data_Cleaning!$G$2:$G$251)-ROW(Data_Cleaning!$G$2)+1),57)),"")</f>
        <v>45548</v>
      </c>
      <c r="Y64" s="7" t="str">
        <f t="array" ref="Y64">IFERROR(INDEX(Data_Cleaning!$D$2:$D$251,SMALL(IF(Data_Cleaning!$G$2:$G$251=$X5,ROW(Data_Cleaning!$G$2:$G$251)-ROW(Data_Cleaning!$G$2)+1),57)),"")</f>
        <v>Kathleen Bennett</v>
      </c>
      <c r="Z64" s="7" t="str">
        <f t="array" ref="Z64">IFERROR(INDEX(Data_Cleaning!$F$2:$F$251,SMALL(IF(Data_Cleaning!$G$2:$G$251=$X5,ROW(Data_Cleaning!$G$2:$G$251)-ROW(Data_Cleaning!$G$2)+1),57)),"")</f>
        <v>Keyboard</v>
      </c>
      <c r="AA64" s="9">
        <f t="array" ref="AA64">IFERROR(INDEX(Data_Cleaning!$N$2:$N$251,SMALL(IF(Data_Cleaning!$G$2:$G$251=$X5,ROW(Data_Cleaning!$G$2:$G$251)-ROW(Data_Cleaning!$G$2)+1),57)),"")</f>
        <v>179.98</v>
      </c>
    </row>
    <row r="65" spans="23:27" ht="15" customHeight="1" x14ac:dyDescent="0.35">
      <c r="W65" s="7" t="str">
        <f t="array" ref="W65">IFERROR(INDEX(Data_Cleaning!$A$2:$A$251,SMALL(IF(Data_Cleaning!$G$2:$G$251=$X5,ROW(Data_Cleaning!$G$2:$G$251)-ROW(Data_Cleaning!$G$2)+1),58)),"")</f>
        <v>TRX0005</v>
      </c>
      <c r="X65" s="8">
        <f t="array" ref="X65">IFERROR(INDEX(Data_Cleaning!$B$2:$B$251,SMALL(IF(Data_Cleaning!$G$2:$G$251=$X5,ROW(Data_Cleaning!$G$2:$G$251)-ROW(Data_Cleaning!$G$2)+1),58)),"")</f>
        <v>45550</v>
      </c>
      <c r="Y65" s="7" t="str">
        <f t="array" ref="Y65">IFERROR(INDEX(Data_Cleaning!$D$2:$D$251,SMALL(IF(Data_Cleaning!$G$2:$G$251=$X5,ROW(Data_Cleaning!$G$2:$G$251)-ROW(Data_Cleaning!$G$2)+1),58)),"")</f>
        <v>Ruth Brooks</v>
      </c>
      <c r="Z65" s="7" t="str">
        <f t="array" ref="Z65">IFERROR(INDEX(Data_Cleaning!$F$2:$F$251,SMALL(IF(Data_Cleaning!$G$2:$G$251=$X5,ROW(Data_Cleaning!$G$2:$G$251)-ROW(Data_Cleaning!$G$2)+1),58)),"")</f>
        <v>Headphones</v>
      </c>
      <c r="AA65" s="9">
        <f t="array" ref="AA65">IFERROR(INDEX(Data_Cleaning!$N$2:$N$251,SMALL(IF(Data_Cleaning!$G$2:$G$251=$X5,ROW(Data_Cleaning!$G$2:$G$251)-ROW(Data_Cleaning!$G$2)+1),58)),"")</f>
        <v>599.96</v>
      </c>
    </row>
    <row r="66" spans="23:27" ht="15" customHeight="1" x14ac:dyDescent="0.35">
      <c r="W66" s="7" t="str">
        <f t="array" ref="W66">IFERROR(INDEX(Data_Cleaning!$A$2:$A$251,SMALL(IF(Data_Cleaning!$G$2:$G$251=$X5,ROW(Data_Cleaning!$G$2:$G$251)-ROW(Data_Cleaning!$G$2)+1),59)),"")</f>
        <v>TRX0195</v>
      </c>
      <c r="X66" s="8">
        <f t="array" ref="X66">IFERROR(INDEX(Data_Cleaning!$B$2:$B$251,SMALL(IF(Data_Cleaning!$G$2:$G$251=$X5,ROW(Data_Cleaning!$G$2:$G$251)-ROW(Data_Cleaning!$G$2)+1),59)),"")</f>
        <v>45551</v>
      </c>
      <c r="Y66" s="7" t="str">
        <f t="array" ref="Y66">IFERROR(INDEX(Data_Cleaning!$D$2:$D$251,SMALL(IF(Data_Cleaning!$G$2:$G$251=$X5,ROW(Data_Cleaning!$G$2:$G$251)-ROW(Data_Cleaning!$G$2)+1),59)),"")</f>
        <v>Karen Hill</v>
      </c>
      <c r="Z66" s="7" t="str">
        <f t="array" ref="Z66">IFERROR(INDEX(Data_Cleaning!$F$2:$F$251,SMALL(IF(Data_Cleaning!$G$2:$G$251=$X5,ROW(Data_Cleaning!$G$2:$G$251)-ROW(Data_Cleaning!$G$2)+1),59)),"")</f>
        <v>Monitor</v>
      </c>
      <c r="AA66" s="9">
        <f t="array" ref="AA66">IFERROR(INDEX(Data_Cleaning!$N$2:$N$251,SMALL(IF(Data_Cleaning!$G$2:$G$251=$X5,ROW(Data_Cleaning!$G$2:$G$251)-ROW(Data_Cleaning!$G$2)+1),59)),"")</f>
        <v>499.98</v>
      </c>
    </row>
    <row r="67" spans="23:27" ht="15" customHeight="1" x14ac:dyDescent="0.35">
      <c r="W67" s="7" t="str">
        <f t="array" ref="W67">IFERROR(INDEX(Data_Cleaning!$A$2:$A$251,SMALL(IF(Data_Cleaning!$G$2:$G$251=$X5,ROW(Data_Cleaning!$G$2:$G$251)-ROW(Data_Cleaning!$G$2)+1),60)),"")</f>
        <v>TRX0077</v>
      </c>
      <c r="X67" s="8">
        <f t="array" ref="X67">IFERROR(INDEX(Data_Cleaning!$B$2:$B$251,SMALL(IF(Data_Cleaning!$G$2:$G$251=$X5,ROW(Data_Cleaning!$G$2:$G$251)-ROW(Data_Cleaning!$G$2)+1),60)),"")</f>
        <v>45554</v>
      </c>
      <c r="Y67" s="7" t="str">
        <f t="array" ref="Y67">IFERROR(INDEX(Data_Cleaning!$D$2:$D$251,SMALL(IF(Data_Cleaning!$G$2:$G$251=$X5,ROW(Data_Cleaning!$G$2:$G$251)-ROW(Data_Cleaning!$G$2)+1),60)),"")</f>
        <v>Daniel King</v>
      </c>
      <c r="Z67" s="7" t="str">
        <f t="array" ref="Z67">IFERROR(INDEX(Data_Cleaning!$F$2:$F$251,SMALL(IF(Data_Cleaning!$G$2:$G$251=$X5,ROW(Data_Cleaning!$G$2:$G$251)-ROW(Data_Cleaning!$G$2)+1),60)),"")</f>
        <v>Keyboard</v>
      </c>
      <c r="AA67" s="9">
        <f t="array" ref="AA67">IFERROR(INDEX(Data_Cleaning!$N$2:$N$251,SMALL(IF(Data_Cleaning!$G$2:$G$251=$X5,ROW(Data_Cleaning!$G$2:$G$251)-ROW(Data_Cleaning!$G$2)+1),60)),"")</f>
        <v>449.95</v>
      </c>
    </row>
    <row r="68" spans="23:27" ht="14.25" customHeight="1" x14ac:dyDescent="0.35">
      <c r="W68" s="7" t="str">
        <f t="array" ref="W68">IFERROR(INDEX(Data_Cleaning!$A$2:$A$251,SMALL(IF(Data_Cleaning!$G$2:$G$251=$X5,ROW(Data_Cleaning!$G$2:$G$251)-ROW(Data_Cleaning!$G$2)+1),61)),"")</f>
        <v>TRX0111</v>
      </c>
      <c r="X68" s="8">
        <f t="array" ref="X68">IFERROR(INDEX(Data_Cleaning!$B$2:$B$251,SMALL(IF(Data_Cleaning!$G$2:$G$251=$X5,ROW(Data_Cleaning!$G$2:$G$251)-ROW(Data_Cleaning!$G$2)+1),61)),"")</f>
        <v>45554</v>
      </c>
      <c r="Y68" s="7" t="str">
        <f t="array" ref="Y68">IFERROR(INDEX(Data_Cleaning!$D$2:$D$251,SMALL(IF(Data_Cleaning!$G$2:$G$251=$X5,ROW(Data_Cleaning!$G$2:$G$251)-ROW(Data_Cleaning!$G$2)+1),61)),"")</f>
        <v>William White</v>
      </c>
      <c r="Z68" s="7" t="str">
        <f t="array" ref="Z68">IFERROR(INDEX(Data_Cleaning!$F$2:$F$251,SMALL(IF(Data_Cleaning!$G$2:$G$251=$X5,ROW(Data_Cleaning!$G$2:$G$251)-ROW(Data_Cleaning!$G$2)+1),61)),"")</f>
        <v>Headphones</v>
      </c>
      <c r="AA68" s="9">
        <f t="array" ref="AA68">IFERROR(INDEX(Data_Cleaning!$N$2:$N$251,SMALL(IF(Data_Cleaning!$G$2:$G$251=$X5,ROW(Data_Cleaning!$G$2:$G$251)-ROW(Data_Cleaning!$G$2)+1),61)),"")</f>
        <v>149.99</v>
      </c>
    </row>
    <row r="69" spans="23:27" ht="15" customHeight="1" x14ac:dyDescent="0.35">
      <c r="W69" s="7" t="str">
        <f t="array" ref="W69">IFERROR(INDEX(Data_Cleaning!$A$2:$A$251,SMALL(IF(Data_Cleaning!$G$2:$G$251=$X5,ROW(Data_Cleaning!$G$2:$G$251)-ROW(Data_Cleaning!$G$2)+1),62)),"")</f>
        <v>TRX0123</v>
      </c>
      <c r="X69" s="8">
        <f t="array" ref="X69">IFERROR(INDEX(Data_Cleaning!$B$2:$B$251,SMALL(IF(Data_Cleaning!$G$2:$G$251=$X5,ROW(Data_Cleaning!$G$2:$G$251)-ROW(Data_Cleaning!$G$2)+1),62)),"")</f>
        <v>45554</v>
      </c>
      <c r="Y69" s="7" t="str">
        <f t="array" ref="Y69">IFERROR(INDEX(Data_Cleaning!$D$2:$D$251,SMALL(IF(Data_Cleaning!$G$2:$G$251=$X5,ROW(Data_Cleaning!$G$2:$G$251)-ROW(Data_Cleaning!$G$2)+1),62)),"")</f>
        <v>Peter Richardson</v>
      </c>
      <c r="Z69" s="7" t="str">
        <f t="array" ref="Z69">IFERROR(INDEX(Data_Cleaning!$F$2:$F$251,SMALL(IF(Data_Cleaning!$G$2:$G$251=$X5,ROW(Data_Cleaning!$G$2:$G$251)-ROW(Data_Cleaning!$G$2)+1),62)),"")</f>
        <v>Smartphone</v>
      </c>
      <c r="AA69" s="9">
        <f t="array" ref="AA69">IFERROR(INDEX(Data_Cleaning!$N$2:$N$251,SMALL(IF(Data_Cleaning!$G$2:$G$251=$X5,ROW(Data_Cleaning!$G$2:$G$251)-ROW(Data_Cleaning!$G$2)+1),62)),"")</f>
        <v>2799.96</v>
      </c>
    </row>
    <row r="70" spans="23:27" ht="15" customHeight="1" x14ac:dyDescent="0.35">
      <c r="W70" s="7" t="str">
        <f t="array" ref="W70">IFERROR(INDEX(Data_Cleaning!$A$2:$A$251,SMALL(IF(Data_Cleaning!$G$2:$G$251=$X5,ROW(Data_Cleaning!$G$2:$G$251)-ROW(Data_Cleaning!$G$2)+1),63)),"")</f>
        <v>TRX0177</v>
      </c>
      <c r="X70" s="8">
        <f t="array" ref="X70">IFERROR(INDEX(Data_Cleaning!$B$2:$B$251,SMALL(IF(Data_Cleaning!$G$2:$G$251=$X5,ROW(Data_Cleaning!$G$2:$G$251)-ROW(Data_Cleaning!$G$2)+1),63)),"")</f>
        <v>45559</v>
      </c>
      <c r="Y70" s="7" t="str">
        <f t="array" ref="Y70">IFERROR(INDEX(Data_Cleaning!$D$2:$D$251,SMALL(IF(Data_Cleaning!$G$2:$G$251=$X5,ROW(Data_Cleaning!$G$2:$G$251)-ROW(Data_Cleaning!$G$2)+1),63)),"")</f>
        <v>Sandra Phillips</v>
      </c>
      <c r="Z70" s="7" t="str">
        <f t="array" ref="Z70">IFERROR(INDEX(Data_Cleaning!$F$2:$F$251,SMALL(IF(Data_Cleaning!$G$2:$G$251=$X5,ROW(Data_Cleaning!$G$2:$G$251)-ROW(Data_Cleaning!$G$2)+1),63)),"")</f>
        <v>Laptop</v>
      </c>
      <c r="AA70" s="9">
        <f t="array" ref="AA70">IFERROR(INDEX(Data_Cleaning!$N$2:$N$251,SMALL(IF(Data_Cleaning!$G$2:$G$251=$X5,ROW(Data_Cleaning!$G$2:$G$251)-ROW(Data_Cleaning!$G$2)+1),63)),"")</f>
        <v>2699.97</v>
      </c>
    </row>
    <row r="71" spans="23:27" ht="14.25" customHeight="1" x14ac:dyDescent="0.35">
      <c r="W71" s="7" t="str">
        <f t="array" ref="W71">IFERROR(INDEX(Data_Cleaning!$A$2:$A$251,SMALL(IF(Data_Cleaning!$G$2:$G$251=$X5,ROW(Data_Cleaning!$G$2:$G$251)-ROW(Data_Cleaning!$G$2)+1),64)),"")</f>
        <v>TRX0203</v>
      </c>
      <c r="X71" s="8">
        <f t="array" ref="X71">IFERROR(INDEX(Data_Cleaning!$B$2:$B$251,SMALL(IF(Data_Cleaning!$G$2:$G$251=$X5,ROW(Data_Cleaning!$G$2:$G$251)-ROW(Data_Cleaning!$G$2)+1),64)),"")</f>
        <v>45572</v>
      </c>
      <c r="Y71" s="7" t="str">
        <f t="array" ref="Y71">IFERROR(INDEX(Data_Cleaning!$D$2:$D$251,SMALL(IF(Data_Cleaning!$G$2:$G$251=$X5,ROW(Data_Cleaning!$G$2:$G$251)-ROW(Data_Cleaning!$G$2)+1),64)),"")</f>
        <v>Sandra Phillips</v>
      </c>
      <c r="Z71" s="7" t="str">
        <f t="array" ref="Z71">IFERROR(INDEX(Data_Cleaning!$F$2:$F$251,SMALL(IF(Data_Cleaning!$G$2:$G$251=$X5,ROW(Data_Cleaning!$G$2:$G$251)-ROW(Data_Cleaning!$G$2)+1),64)),"")</f>
        <v>Headphones</v>
      </c>
      <c r="AA71" s="9">
        <f t="array" ref="AA71">IFERROR(INDEX(Data_Cleaning!$N$2:$N$251,SMALL(IF(Data_Cleaning!$G$2:$G$251=$X5,ROW(Data_Cleaning!$G$2:$G$251)-ROW(Data_Cleaning!$G$2)+1),64)),"")</f>
        <v>599.96</v>
      </c>
    </row>
    <row r="72" spans="23:27" ht="15.75" customHeight="1" x14ac:dyDescent="0.35">
      <c r="W72" s="7" t="str">
        <f t="array" ref="W72">IFERROR(INDEX(Data_Cleaning!$A$2:$A$251,SMALL(IF(Data_Cleaning!$G$2:$G$251=$X5,ROW(Data_Cleaning!$G$2:$G$251)-ROW(Data_Cleaning!$G$2)+1),65)),"")</f>
        <v>TRX0055</v>
      </c>
      <c r="X72" s="8">
        <f t="array" ref="X72">IFERROR(INDEX(Data_Cleaning!$B$2:$B$251,SMALL(IF(Data_Cleaning!$G$2:$G$251=$X5,ROW(Data_Cleaning!$G$2:$G$251)-ROW(Data_Cleaning!$G$2)+1),65)),"")</f>
        <v>45573</v>
      </c>
      <c r="Y72" s="7" t="str">
        <f t="array" ref="Y72">IFERROR(INDEX(Data_Cleaning!$D$2:$D$251,SMALL(IF(Data_Cleaning!$G$2:$G$251=$X5,ROW(Data_Cleaning!$G$2:$G$251)-ROW(Data_Cleaning!$G$2)+1),65)),"")</f>
        <v>Elizabeth Hall</v>
      </c>
      <c r="Z72" s="7" t="str">
        <f t="array" ref="Z72">IFERROR(INDEX(Data_Cleaning!$F$2:$F$251,SMALL(IF(Data_Cleaning!$G$2:$G$251=$X5,ROW(Data_Cleaning!$G$2:$G$251)-ROW(Data_Cleaning!$G$2)+1),65)),"")</f>
        <v>Smartphone</v>
      </c>
      <c r="AA72" s="9">
        <f t="array" ref="AA72">IFERROR(INDEX(Data_Cleaning!$N$2:$N$251,SMALL(IF(Data_Cleaning!$G$2:$G$251=$X5,ROW(Data_Cleaning!$G$2:$G$251)-ROW(Data_Cleaning!$G$2)+1),65)),"")</f>
        <v>1399.98</v>
      </c>
    </row>
    <row r="73" spans="23:27" ht="14.25" customHeight="1" x14ac:dyDescent="0.35">
      <c r="W73" s="7" t="str">
        <f t="array" ref="W73">IFERROR(INDEX(Data_Cleaning!$A$2:$A$251,SMALL(IF(Data_Cleaning!$G$2:$G$251=$X5,ROW(Data_Cleaning!$G$2:$G$251)-ROW(Data_Cleaning!$G$2)+1),66)),"")</f>
        <v>TRX0158</v>
      </c>
      <c r="X73" s="8">
        <f t="array" ref="X73">IFERROR(INDEX(Data_Cleaning!$B$2:$B$251,SMALL(IF(Data_Cleaning!$G$2:$G$251=$X5,ROW(Data_Cleaning!$G$2:$G$251)-ROW(Data_Cleaning!$G$2)+1),66)),"")</f>
        <v>45579</v>
      </c>
      <c r="Y73" s="7" t="str">
        <f t="array" ref="Y73">IFERROR(INDEX(Data_Cleaning!$D$2:$D$251,SMALL(IF(Data_Cleaning!$G$2:$G$251=$X5,ROW(Data_Cleaning!$G$2:$G$251)-ROW(Data_Cleaning!$G$2)+1),66)),"")</f>
        <v>George Adams</v>
      </c>
      <c r="Z73" s="7" t="str">
        <f t="array" ref="Z73">IFERROR(INDEX(Data_Cleaning!$F$2:$F$251,SMALL(IF(Data_Cleaning!$G$2:$G$251=$X5,ROW(Data_Cleaning!$G$2:$G$251)-ROW(Data_Cleaning!$G$2)+1),66)),"")</f>
        <v>Laptop</v>
      </c>
      <c r="AA73" s="9">
        <f t="array" ref="AA73">IFERROR(INDEX(Data_Cleaning!$N$2:$N$251,SMALL(IF(Data_Cleaning!$G$2:$G$251=$X5,ROW(Data_Cleaning!$G$2:$G$251)-ROW(Data_Cleaning!$G$2)+1),66)),"")</f>
        <v>2699.97</v>
      </c>
    </row>
    <row r="74" spans="23:27" ht="15" customHeight="1" x14ac:dyDescent="0.35">
      <c r="W74" s="7" t="str">
        <f t="array" ref="W74">IFERROR(INDEX(Data_Cleaning!$A$2:$A$251,SMALL(IF(Data_Cleaning!$G$2:$G$251=$X5,ROW(Data_Cleaning!$G$2:$G$251)-ROW(Data_Cleaning!$G$2)+1),67)),"")</f>
        <v>TRX0173</v>
      </c>
      <c r="X74" s="8">
        <f t="array" ref="X74">IFERROR(INDEX(Data_Cleaning!$B$2:$B$251,SMALL(IF(Data_Cleaning!$G$2:$G$251=$X5,ROW(Data_Cleaning!$G$2:$G$251)-ROW(Data_Cleaning!$G$2)+1),67)),"")</f>
        <v>45581</v>
      </c>
      <c r="Y74" s="7" t="str">
        <f t="array" ref="Y74">IFERROR(INDEX(Data_Cleaning!$D$2:$D$251,SMALL(IF(Data_Cleaning!$G$2:$G$251=$X5,ROW(Data_Cleaning!$G$2:$G$251)-ROW(Data_Cleaning!$G$2)+1),67)),"")</f>
        <v>Barbara Young</v>
      </c>
      <c r="Z74" s="7" t="str">
        <f t="array" ref="Z74">IFERROR(INDEX(Data_Cleaning!$F$2:$F$251,SMALL(IF(Data_Cleaning!$G$2:$G$251=$X5,ROW(Data_Cleaning!$G$2:$G$251)-ROW(Data_Cleaning!$G$2)+1),67)),"")</f>
        <v>Smartphone</v>
      </c>
      <c r="AA74" s="9">
        <f t="array" ref="AA74">IFERROR(INDEX(Data_Cleaning!$N$2:$N$251,SMALL(IF(Data_Cleaning!$G$2:$G$251=$X5,ROW(Data_Cleaning!$G$2:$G$251)-ROW(Data_Cleaning!$G$2)+1),67)),"")</f>
        <v>3499.95</v>
      </c>
    </row>
    <row r="75" spans="23:27" ht="14.25" customHeight="1" x14ac:dyDescent="0.35">
      <c r="W75" s="7" t="str">
        <f t="array" ref="W75">IFERROR(INDEX(Data_Cleaning!$A$2:$A$251,SMALL(IF(Data_Cleaning!$G$2:$G$251=$X5,ROW(Data_Cleaning!$G$2:$G$251)-ROW(Data_Cleaning!$G$2)+1),68)),"")</f>
        <v>TRX0034</v>
      </c>
      <c r="X75" s="8">
        <f t="array" ref="X75">IFERROR(INDEX(Data_Cleaning!$B$2:$B$251,SMALL(IF(Data_Cleaning!$G$2:$G$251=$X5,ROW(Data_Cleaning!$G$2:$G$251)-ROW(Data_Cleaning!$G$2)+1),68)),"")</f>
        <v>45581</v>
      </c>
      <c r="Y75" s="7" t="str">
        <f t="array" ref="Y75">IFERROR(INDEX(Data_Cleaning!$D$2:$D$251,SMALL(IF(Data_Cleaning!$G$2:$G$251=$X5,ROW(Data_Cleaning!$G$2:$G$251)-ROW(Data_Cleaning!$G$2)+1),68)),"")</f>
        <v>Raymond Ross</v>
      </c>
      <c r="Z75" s="7" t="str">
        <f t="array" ref="Z75">IFERROR(INDEX(Data_Cleaning!$F$2:$F$251,SMALL(IF(Data_Cleaning!$G$2:$G$251=$X5,ROW(Data_Cleaning!$G$2:$G$251)-ROW(Data_Cleaning!$G$2)+1),68)),"")</f>
        <v>Smartphone</v>
      </c>
      <c r="AA75" s="9">
        <f t="array" ref="AA75">IFERROR(INDEX(Data_Cleaning!$N$2:$N$251,SMALL(IF(Data_Cleaning!$G$2:$G$251=$X5,ROW(Data_Cleaning!$G$2:$G$251)-ROW(Data_Cleaning!$G$2)+1),68)),"")</f>
        <v>2799.96</v>
      </c>
    </row>
    <row r="76" spans="23:27" ht="15" customHeight="1" x14ac:dyDescent="0.35">
      <c r="W76" s="7" t="str">
        <f t="array" ref="W76">IFERROR(INDEX(Data_Cleaning!$A$2:$A$251,SMALL(IF(Data_Cleaning!$G$2:$G$251=$X5,ROW(Data_Cleaning!$G$2:$G$251)-ROW(Data_Cleaning!$G$2)+1),69)),"")</f>
        <v>TRX0189</v>
      </c>
      <c r="X76" s="8">
        <f t="array" ref="X76">IFERROR(INDEX(Data_Cleaning!$B$2:$B$251,SMALL(IF(Data_Cleaning!$G$2:$G$251=$X5,ROW(Data_Cleaning!$G$2:$G$251)-ROW(Data_Cleaning!$G$2)+1),69)),"")</f>
        <v>45581</v>
      </c>
      <c r="Y76" s="7" t="str">
        <f t="array" ref="Y76">IFERROR(INDEX(Data_Cleaning!$D$2:$D$251,SMALL(IF(Data_Cleaning!$G$2:$G$251=$X5,ROW(Data_Cleaning!$G$2:$G$251)-ROW(Data_Cleaning!$G$2)+1),69)),"")</f>
        <v>Sharon Butler</v>
      </c>
      <c r="Z76" s="7" t="str">
        <f t="array" ref="Z76">IFERROR(INDEX(Data_Cleaning!$F$2:$F$251,SMALL(IF(Data_Cleaning!$G$2:$G$251=$X5,ROW(Data_Cleaning!$G$2:$G$251)-ROW(Data_Cleaning!$G$2)+1),69)),"")</f>
        <v>Laptop</v>
      </c>
      <c r="AA76" s="9">
        <f t="array" ref="AA76">IFERROR(INDEX(Data_Cleaning!$N$2:$N$251,SMALL(IF(Data_Cleaning!$G$2:$G$251=$X5,ROW(Data_Cleaning!$G$2:$G$251)-ROW(Data_Cleaning!$G$2)+1),69)),"")</f>
        <v>899.99</v>
      </c>
    </row>
    <row r="77" spans="23:27" ht="15" customHeight="1" x14ac:dyDescent="0.35">
      <c r="W77" s="7" t="str">
        <f t="array" ref="W77">IFERROR(INDEX(Data_Cleaning!$A$2:$A$251,SMALL(IF(Data_Cleaning!$G$2:$G$251=$X5,ROW(Data_Cleaning!$G$2:$G$251)-ROW(Data_Cleaning!$G$2)+1),70)),"")</f>
        <v>TRX0190</v>
      </c>
      <c r="X77" s="8">
        <f t="array" ref="X77">IFERROR(INDEX(Data_Cleaning!$B$2:$B$251,SMALL(IF(Data_Cleaning!$G$2:$G$251=$X5,ROW(Data_Cleaning!$G$2:$G$251)-ROW(Data_Cleaning!$G$2)+1),70)),"")</f>
        <v>45583</v>
      </c>
      <c r="Y77" s="7" t="str">
        <f t="array" ref="Y77">IFERROR(INDEX(Data_Cleaning!$D$2:$D$251,SMALL(IF(Data_Cleaning!$G$2:$G$251=$X5,ROW(Data_Cleaning!$G$2:$G$251)-ROW(Data_Cleaning!$G$2)+1),70)),"")</f>
        <v>Lawrence Reed</v>
      </c>
      <c r="Z77" s="7" t="str">
        <f t="array" ref="Z77">IFERROR(INDEX(Data_Cleaning!$F$2:$F$251,SMALL(IF(Data_Cleaning!$G$2:$G$251=$X5,ROW(Data_Cleaning!$G$2:$G$251)-ROW(Data_Cleaning!$G$2)+1),70)),"")</f>
        <v>Headphones</v>
      </c>
      <c r="AA77" s="9">
        <f t="array" ref="AA77">IFERROR(INDEX(Data_Cleaning!$N$2:$N$251,SMALL(IF(Data_Cleaning!$G$2:$G$251=$X5,ROW(Data_Cleaning!$G$2:$G$251)-ROW(Data_Cleaning!$G$2)+1),70)),"")</f>
        <v>299.98</v>
      </c>
    </row>
    <row r="78" spans="23:27" ht="15" customHeight="1" x14ac:dyDescent="0.35">
      <c r="W78" s="7" t="str">
        <f t="array" ref="W78">IFERROR(INDEX(Data_Cleaning!$A$2:$A$251,SMALL(IF(Data_Cleaning!$G$2:$G$251=$X5,ROW(Data_Cleaning!$G$2:$G$251)-ROW(Data_Cleaning!$G$2)+1),71)),"")</f>
        <v>TRX0079</v>
      </c>
      <c r="X78" s="8">
        <f t="array" ref="X78">IFERROR(INDEX(Data_Cleaning!$B$2:$B$251,SMALL(IF(Data_Cleaning!$G$2:$G$251=$X5,ROW(Data_Cleaning!$G$2:$G$251)-ROW(Data_Cleaning!$G$2)+1),71)),"")</f>
        <v>45586</v>
      </c>
      <c r="Y78" s="7" t="str">
        <f t="array" ref="Y78">IFERROR(INDEX(Data_Cleaning!$D$2:$D$251,SMALL(IF(Data_Cleaning!$G$2:$G$251=$X5,ROW(Data_Cleaning!$G$2:$G$251)-ROW(Data_Cleaning!$G$2)+1),71)),"")</f>
        <v>Lawrence Reed</v>
      </c>
      <c r="Z78" s="7" t="str">
        <f t="array" ref="Z78">IFERROR(INDEX(Data_Cleaning!$F$2:$F$251,SMALL(IF(Data_Cleaning!$G$2:$G$251=$X5,ROW(Data_Cleaning!$G$2:$G$251)-ROW(Data_Cleaning!$G$2)+1),71)),"")</f>
        <v>Keyboard</v>
      </c>
      <c r="AA78" s="9">
        <f t="array" ref="AA78">IFERROR(INDEX(Data_Cleaning!$N$2:$N$251,SMALL(IF(Data_Cleaning!$G$2:$G$251=$X5,ROW(Data_Cleaning!$G$2:$G$251)-ROW(Data_Cleaning!$G$2)+1),71)),"")</f>
        <v>269.97000000000003</v>
      </c>
    </row>
    <row r="79" spans="23:27" ht="15" customHeight="1" x14ac:dyDescent="0.35">
      <c r="W79" s="7" t="str">
        <f t="array" ref="W79">IFERROR(INDEX(Data_Cleaning!$A$2:$A$251,SMALL(IF(Data_Cleaning!$G$2:$G$251=$X5,ROW(Data_Cleaning!$G$2:$G$251)-ROW(Data_Cleaning!$G$2)+1),72)),"")</f>
        <v>TRX0095</v>
      </c>
      <c r="X79" s="8">
        <f t="array" ref="X79">IFERROR(INDEX(Data_Cleaning!$B$2:$B$251,SMALL(IF(Data_Cleaning!$G$2:$G$251=$X5,ROW(Data_Cleaning!$G$2:$G$251)-ROW(Data_Cleaning!$G$2)+1),72)),"")</f>
        <v>45588</v>
      </c>
      <c r="Y79" s="7" t="str">
        <f t="array" ref="Y79">IFERROR(INDEX(Data_Cleaning!$D$2:$D$251,SMALL(IF(Data_Cleaning!$G$2:$G$251=$X5,ROW(Data_Cleaning!$G$2:$G$251)-ROW(Data_Cleaning!$G$2)+1),72)),"")</f>
        <v>Kathleen Bennett</v>
      </c>
      <c r="Z79" s="7" t="str">
        <f t="array" ref="Z79">IFERROR(INDEX(Data_Cleaning!$F$2:$F$251,SMALL(IF(Data_Cleaning!$G$2:$G$251=$X5,ROW(Data_Cleaning!$G$2:$G$251)-ROW(Data_Cleaning!$G$2)+1),72)),"")</f>
        <v>Headphones</v>
      </c>
      <c r="AA79" s="9">
        <f t="array" ref="AA79">IFERROR(INDEX(Data_Cleaning!$N$2:$N$251,SMALL(IF(Data_Cleaning!$G$2:$G$251=$X5,ROW(Data_Cleaning!$G$2:$G$251)-ROW(Data_Cleaning!$G$2)+1),72)),"")</f>
        <v>299.98</v>
      </c>
    </row>
    <row r="80" spans="23:27" ht="15" customHeight="1" x14ac:dyDescent="0.35">
      <c r="W80" s="7" t="str">
        <f t="array" ref="W80">IFERROR(INDEX(Data_Cleaning!$A$2:$A$251,SMALL(IF(Data_Cleaning!$G$2:$G$251=$X5,ROW(Data_Cleaning!$G$2:$G$251)-ROW(Data_Cleaning!$G$2)+1),73)),"")</f>
        <v>TRX0009</v>
      </c>
      <c r="X80" s="8">
        <f t="array" ref="X80">IFERROR(INDEX(Data_Cleaning!$B$2:$B$251,SMALL(IF(Data_Cleaning!$G$2:$G$251=$X5,ROW(Data_Cleaning!$G$2:$G$251)-ROW(Data_Cleaning!$G$2)+1),73)),"")</f>
        <v>45588</v>
      </c>
      <c r="Y80" s="7" t="str">
        <f t="array" ref="Y80">IFERROR(INDEX(Data_Cleaning!$D$2:$D$251,SMALL(IF(Data_Cleaning!$G$2:$G$251=$X5,ROW(Data_Cleaning!$G$2:$G$251)-ROW(Data_Cleaning!$G$2)+1),73)),"")</f>
        <v>Sarah Davis</v>
      </c>
      <c r="Z80" s="7" t="str">
        <f t="array" ref="Z80">IFERROR(INDEX(Data_Cleaning!$F$2:$F$251,SMALL(IF(Data_Cleaning!$G$2:$G$251=$X5,ROW(Data_Cleaning!$G$2:$G$251)-ROW(Data_Cleaning!$G$2)+1),73)),"")</f>
        <v>Smartphone</v>
      </c>
      <c r="AA80" s="9">
        <f t="array" ref="AA80">IFERROR(INDEX(Data_Cleaning!$N$2:$N$251,SMALL(IF(Data_Cleaning!$G$2:$G$251=$X5,ROW(Data_Cleaning!$G$2:$G$251)-ROW(Data_Cleaning!$G$2)+1),73)),"")</f>
        <v>1399.98</v>
      </c>
    </row>
    <row r="81" spans="23:27" ht="15" customHeight="1" x14ac:dyDescent="0.35">
      <c r="W81" s="7" t="str">
        <f t="array" ref="W81">IFERROR(INDEX(Data_Cleaning!$A$2:$A$251,SMALL(IF(Data_Cleaning!$G$2:$G$251=$X5,ROW(Data_Cleaning!$G$2:$G$251)-ROW(Data_Cleaning!$G$2)+1),74)),"")</f>
        <v>TRX0167</v>
      </c>
      <c r="X81" s="8">
        <f t="array" ref="X81">IFERROR(INDEX(Data_Cleaning!$B$2:$B$251,SMALL(IF(Data_Cleaning!$G$2:$G$251=$X5,ROW(Data_Cleaning!$G$2:$G$251)-ROW(Data_Cleaning!$G$2)+1),74)),"")</f>
        <v>45589</v>
      </c>
      <c r="Y81" s="7" t="str">
        <f t="array" ref="Y81">IFERROR(INDEX(Data_Cleaning!$D$2:$D$251,SMALL(IF(Data_Cleaning!$G$2:$G$251=$X5,ROW(Data_Cleaning!$G$2:$G$251)-ROW(Data_Cleaning!$G$2)+1),74)),"")</f>
        <v>Betty Campbell</v>
      </c>
      <c r="Z81" s="7" t="str">
        <f t="array" ref="Z81">IFERROR(INDEX(Data_Cleaning!$F$2:$F$251,SMALL(IF(Data_Cleaning!$G$2:$G$251=$X5,ROW(Data_Cleaning!$G$2:$G$251)-ROW(Data_Cleaning!$G$2)+1),74)),"")</f>
        <v>Smartphone</v>
      </c>
      <c r="AA81" s="9">
        <f t="array" ref="AA81">IFERROR(INDEX(Data_Cleaning!$N$2:$N$251,SMALL(IF(Data_Cleaning!$G$2:$G$251=$X5,ROW(Data_Cleaning!$G$2:$G$251)-ROW(Data_Cleaning!$G$2)+1),74)),"")</f>
        <v>3499.95</v>
      </c>
    </row>
    <row r="82" spans="23:27" ht="15" customHeight="1" x14ac:dyDescent="0.35">
      <c r="W82" s="7" t="str">
        <f t="array" ref="W82">IFERROR(INDEX(Data_Cleaning!$A$2:$A$251,SMALL(IF(Data_Cleaning!$G$2:$G$251=$X5,ROW(Data_Cleaning!$G$2:$G$251)-ROW(Data_Cleaning!$G$2)+1),75)),"")</f>
        <v>TRX0153</v>
      </c>
      <c r="X82" s="8">
        <f t="array" ref="X82">IFERROR(INDEX(Data_Cleaning!$B$2:$B$251,SMALL(IF(Data_Cleaning!$G$2:$G$251=$X5,ROW(Data_Cleaning!$G$2:$G$251)-ROW(Data_Cleaning!$G$2)+1),75)),"")</f>
        <v>45592</v>
      </c>
      <c r="Y82" s="7" t="str">
        <f t="array" ref="Y82">IFERROR(INDEX(Data_Cleaning!$D$2:$D$251,SMALL(IF(Data_Cleaning!$G$2:$G$251=$X5,ROW(Data_Cleaning!$G$2:$G$251)-ROW(Data_Cleaning!$G$2)+1),75)),"")</f>
        <v>Raymond Ross</v>
      </c>
      <c r="Z82" s="7" t="str">
        <f t="array" ref="Z82">IFERROR(INDEX(Data_Cleaning!$F$2:$F$251,SMALL(IF(Data_Cleaning!$G$2:$G$251=$X5,ROW(Data_Cleaning!$G$2:$G$251)-ROW(Data_Cleaning!$G$2)+1),75)),"")</f>
        <v>Keyboard</v>
      </c>
      <c r="AA82" s="9">
        <f t="array" ref="AA82">IFERROR(INDEX(Data_Cleaning!$N$2:$N$251,SMALL(IF(Data_Cleaning!$G$2:$G$251=$X5,ROW(Data_Cleaning!$G$2:$G$251)-ROW(Data_Cleaning!$G$2)+1),75)),"")</f>
        <v>269.97000000000003</v>
      </c>
    </row>
    <row r="83" spans="23:27" ht="15" customHeight="1" x14ac:dyDescent="0.35">
      <c r="W83" s="7" t="str">
        <f t="array" ref="W83">IFERROR(INDEX(Data_Cleaning!$A$2:$A$251,SMALL(IF(Data_Cleaning!$G$2:$G$251=$X5,ROW(Data_Cleaning!$G$2:$G$251)-ROW(Data_Cleaning!$G$2)+1),76)),"")</f>
        <v>TRX0057</v>
      </c>
      <c r="X83" s="8">
        <f t="array" ref="X83">IFERROR(INDEX(Data_Cleaning!$B$2:$B$251,SMALL(IF(Data_Cleaning!$G$2:$G$251=$X5,ROW(Data_Cleaning!$G$2:$G$251)-ROW(Data_Cleaning!$G$2)+1),76)),"")</f>
        <v>45597</v>
      </c>
      <c r="Y83" s="7" t="str">
        <f t="array" ref="Y83">IFERROR(INDEX(Data_Cleaning!$D$2:$D$251,SMALL(IF(Data_Cleaning!$G$2:$G$251=$X5,ROW(Data_Cleaning!$G$2:$G$251)-ROW(Data_Cleaning!$G$2)+1),76)),"")</f>
        <v>Paul Baker</v>
      </c>
      <c r="Z83" s="7" t="str">
        <f t="array" ref="Z83">IFERROR(INDEX(Data_Cleaning!$F$2:$F$251,SMALL(IF(Data_Cleaning!$G$2:$G$251=$X5,ROW(Data_Cleaning!$G$2:$G$251)-ROW(Data_Cleaning!$G$2)+1),76)),"")</f>
        <v>Monitor</v>
      </c>
      <c r="AA83" s="9">
        <f t="array" ref="AA83">IFERROR(INDEX(Data_Cleaning!$N$2:$N$251,SMALL(IF(Data_Cleaning!$G$2:$G$251=$X5,ROW(Data_Cleaning!$G$2:$G$251)-ROW(Data_Cleaning!$G$2)+1),76)),"")</f>
        <v>1249.95</v>
      </c>
    </row>
    <row r="84" spans="23:27" ht="15" customHeight="1" x14ac:dyDescent="0.35">
      <c r="W84" s="7" t="str">
        <f t="array" ref="W84">IFERROR(INDEX(Data_Cleaning!$A$2:$A$251,SMALL(IF(Data_Cleaning!$G$2:$G$251=$X5,ROW(Data_Cleaning!$G$2:$G$251)-ROW(Data_Cleaning!$G$2)+1),77)),"")</f>
        <v>TRX0060</v>
      </c>
      <c r="X84" s="8">
        <f t="array" ref="X84">IFERROR(INDEX(Data_Cleaning!$B$2:$B$251,SMALL(IF(Data_Cleaning!$G$2:$G$251=$X5,ROW(Data_Cleaning!$G$2:$G$251)-ROW(Data_Cleaning!$G$2)+1),77)),"")</f>
        <v>45603</v>
      </c>
      <c r="Y84" s="7" t="str">
        <f t="array" ref="Y84">IFERROR(INDEX(Data_Cleaning!$D$2:$D$251,SMALL(IF(Data_Cleaning!$G$2:$G$251=$X5,ROW(Data_Cleaning!$G$2:$G$251)-ROW(Data_Cleaning!$G$2)+1),77)),"")</f>
        <v>Patricia Moore</v>
      </c>
      <c r="Z84" s="7" t="str">
        <f t="array" ref="Z84">IFERROR(INDEX(Data_Cleaning!$F$2:$F$251,SMALL(IF(Data_Cleaning!$G$2:$G$251=$X5,ROW(Data_Cleaning!$G$2:$G$251)-ROW(Data_Cleaning!$G$2)+1),77)),"")</f>
        <v>Keyboard</v>
      </c>
      <c r="AA84" s="9">
        <f t="array" ref="AA84">IFERROR(INDEX(Data_Cleaning!$N$2:$N$251,SMALL(IF(Data_Cleaning!$G$2:$G$251=$X5,ROW(Data_Cleaning!$G$2:$G$251)-ROW(Data_Cleaning!$G$2)+1),77)),"")</f>
        <v>269.97000000000003</v>
      </c>
    </row>
    <row r="85" spans="23:27" ht="15" customHeight="1" x14ac:dyDescent="0.35">
      <c r="W85" s="7" t="str">
        <f t="array" ref="W85">IFERROR(INDEX(Data_Cleaning!$A$2:$A$251,SMALL(IF(Data_Cleaning!$G$2:$G$251=$X5,ROW(Data_Cleaning!$G$2:$G$251)-ROW(Data_Cleaning!$G$2)+1),78)),"")</f>
        <v>TRX0090</v>
      </c>
      <c r="X85" s="8">
        <f t="array" ref="X85">IFERROR(INDEX(Data_Cleaning!$B$2:$B$251,SMALL(IF(Data_Cleaning!$G$2:$G$251=$X5,ROW(Data_Cleaning!$G$2:$G$251)-ROW(Data_Cleaning!$G$2)+1),78)),"")</f>
        <v>45605</v>
      </c>
      <c r="Y85" s="7" t="str">
        <f t="array" ref="Y85">IFERROR(INDEX(Data_Cleaning!$D$2:$D$251,SMALL(IF(Data_Cleaning!$G$2:$G$251=$X5,ROW(Data_Cleaning!$G$2:$G$251)-ROW(Data_Cleaning!$G$2)+1),78)),"")</f>
        <v>Margaret Wright</v>
      </c>
      <c r="Z85" s="7" t="str">
        <f t="array" ref="Z85">IFERROR(INDEX(Data_Cleaning!$F$2:$F$251,SMALL(IF(Data_Cleaning!$G$2:$G$251=$X5,ROW(Data_Cleaning!$G$2:$G$251)-ROW(Data_Cleaning!$G$2)+1),78)),"")</f>
        <v>Monitor</v>
      </c>
      <c r="AA85" s="9">
        <f t="array" ref="AA85">IFERROR(INDEX(Data_Cleaning!$N$2:$N$251,SMALL(IF(Data_Cleaning!$G$2:$G$251=$X5,ROW(Data_Cleaning!$G$2:$G$251)-ROW(Data_Cleaning!$G$2)+1),78)),"")</f>
        <v>249.99</v>
      </c>
    </row>
    <row r="86" spans="23:27" ht="15" customHeight="1" x14ac:dyDescent="0.35">
      <c r="W86" s="7" t="str">
        <f t="array" ref="W86">IFERROR(INDEX(Data_Cleaning!$A$2:$A$251,SMALL(IF(Data_Cleaning!$G$2:$G$251=$X5,ROW(Data_Cleaning!$G$2:$G$251)-ROW(Data_Cleaning!$G$2)+1),79)),"")</f>
        <v>TRX0035</v>
      </c>
      <c r="X86" s="8">
        <f t="array" ref="X86">IFERROR(INDEX(Data_Cleaning!$B$2:$B$251,SMALL(IF(Data_Cleaning!$G$2:$G$251=$X5,ROW(Data_Cleaning!$G$2:$G$251)-ROW(Data_Cleaning!$G$2)+1),79)),"")</f>
        <v>45607</v>
      </c>
      <c r="Y86" s="7" t="str">
        <f t="array" ref="Y86">IFERROR(INDEX(Data_Cleaning!$D$2:$D$251,SMALL(IF(Data_Cleaning!$G$2:$G$251=$X5,ROW(Data_Cleaning!$G$2:$G$251)-ROW(Data_Cleaning!$G$2)+1),79)),"")</f>
        <v>Peter Richardson</v>
      </c>
      <c r="Z86" s="7" t="str">
        <f t="array" ref="Z86">IFERROR(INDEX(Data_Cleaning!$F$2:$F$251,SMALL(IF(Data_Cleaning!$G$2:$G$251=$X5,ROW(Data_Cleaning!$G$2:$G$251)-ROW(Data_Cleaning!$G$2)+1),79)),"")</f>
        <v>Headphones</v>
      </c>
      <c r="AA86" s="9">
        <f t="array" ref="AA86">IFERROR(INDEX(Data_Cleaning!$N$2:$N$251,SMALL(IF(Data_Cleaning!$G$2:$G$251=$X5,ROW(Data_Cleaning!$G$2:$G$251)-ROW(Data_Cleaning!$G$2)+1),79)),"")</f>
        <v>449.97</v>
      </c>
    </row>
    <row r="87" spans="23:27" ht="15" customHeight="1" x14ac:dyDescent="0.35">
      <c r="W87" s="7" t="str">
        <f t="array" ref="W87">IFERROR(INDEX(Data_Cleaning!$A$2:$A$251,SMALL(IF(Data_Cleaning!$G$2:$G$251=$X5,ROW(Data_Cleaning!$G$2:$G$251)-ROW(Data_Cleaning!$G$2)+1),80)),"")</f>
        <v>TRX0076</v>
      </c>
      <c r="X87" s="8">
        <f t="array" ref="X87">IFERROR(INDEX(Data_Cleaning!$B$2:$B$251,SMALL(IF(Data_Cleaning!$G$2:$G$251=$X5,ROW(Data_Cleaning!$G$2:$G$251)-ROW(Data_Cleaning!$G$2)+1),80)),"")</f>
        <v>45607</v>
      </c>
      <c r="Y87" s="7" t="str">
        <f t="array" ref="Y87">IFERROR(INDEX(Data_Cleaning!$D$2:$D$251,SMALL(IF(Data_Cleaning!$G$2:$G$251=$X5,ROW(Data_Cleaning!$G$2:$G$251)-ROW(Data_Cleaning!$G$2)+1),80)),"")</f>
        <v>Patricia Moore</v>
      </c>
      <c r="Z87" s="7" t="str">
        <f t="array" ref="Z87">IFERROR(INDEX(Data_Cleaning!$F$2:$F$251,SMALL(IF(Data_Cleaning!$G$2:$G$251=$X5,ROW(Data_Cleaning!$G$2:$G$251)-ROW(Data_Cleaning!$G$2)+1),80)),"")</f>
        <v>Monitor</v>
      </c>
      <c r="AA87" s="9">
        <f t="array" ref="AA87">IFERROR(INDEX(Data_Cleaning!$N$2:$N$251,SMALL(IF(Data_Cleaning!$G$2:$G$251=$X5,ROW(Data_Cleaning!$G$2:$G$251)-ROW(Data_Cleaning!$G$2)+1),80)),"")</f>
        <v>999.96</v>
      </c>
    </row>
    <row r="88" spans="23:27" ht="15" customHeight="1" x14ac:dyDescent="0.35">
      <c r="W88" s="7" t="str">
        <f t="array" ref="W88">IFERROR(INDEX(Data_Cleaning!$A$2:$A$251,SMALL(IF(Data_Cleaning!$G$2:$G$251=$X5,ROW(Data_Cleaning!$G$2:$G$251)-ROW(Data_Cleaning!$G$2)+1),81)),"")</f>
        <v>TRX0033</v>
      </c>
      <c r="X88" s="8">
        <f t="array" ref="X88">IFERROR(INDEX(Data_Cleaning!$B$2:$B$251,SMALL(IF(Data_Cleaning!$G$2:$G$251=$X5,ROW(Data_Cleaning!$G$2:$G$251)-ROW(Data_Cleaning!$G$2)+1),81)),"")</f>
        <v>45613</v>
      </c>
      <c r="Y88" s="7" t="str">
        <f t="array" ref="Y88">IFERROR(INDEX(Data_Cleaning!$D$2:$D$251,SMALL(IF(Data_Cleaning!$G$2:$G$251=$X5,ROW(Data_Cleaning!$G$2:$G$251)-ROW(Data_Cleaning!$G$2)+1),81)),"")</f>
        <v>Mark Carter</v>
      </c>
      <c r="Z88" s="7" t="str">
        <f t="array" ref="Z88">IFERROR(INDEX(Data_Cleaning!$F$2:$F$251,SMALL(IF(Data_Cleaning!$G$2:$G$251=$X5,ROW(Data_Cleaning!$G$2:$G$251)-ROW(Data_Cleaning!$G$2)+1),81)),"")</f>
        <v>Smartphone</v>
      </c>
      <c r="AA88" s="9">
        <f t="array" ref="AA88">IFERROR(INDEX(Data_Cleaning!$N$2:$N$251,SMALL(IF(Data_Cleaning!$G$2:$G$251=$X5,ROW(Data_Cleaning!$G$2:$G$251)-ROW(Data_Cleaning!$G$2)+1),81)),"")</f>
        <v>1399.98</v>
      </c>
    </row>
    <row r="89" spans="23:27" ht="15" customHeight="1" x14ac:dyDescent="0.35">
      <c r="W89" s="7" t="str">
        <f t="array" ref="W89">IFERROR(INDEX(Data_Cleaning!$A$2:$A$251,SMALL(IF(Data_Cleaning!$G$2:$G$251=$X5,ROW(Data_Cleaning!$G$2:$G$251)-ROW(Data_Cleaning!$G$2)+1),82)),"")</f>
        <v>TRX0148</v>
      </c>
      <c r="X89" s="8">
        <f t="array" ref="X89">IFERROR(INDEX(Data_Cleaning!$B$2:$B$251,SMALL(IF(Data_Cleaning!$G$2:$G$251=$X5,ROW(Data_Cleaning!$G$2:$G$251)-ROW(Data_Cleaning!$G$2)+1),82)),"")</f>
        <v>45619</v>
      </c>
      <c r="Y89" s="7" t="str">
        <f t="array" ref="Y89">IFERROR(INDEX(Data_Cleaning!$D$2:$D$251,SMALL(IF(Data_Cleaning!$G$2:$G$251=$X5,ROW(Data_Cleaning!$G$2:$G$251)-ROW(Data_Cleaning!$G$2)+1),82)),"")</f>
        <v>Sarah Davis</v>
      </c>
      <c r="Z89" s="7" t="str">
        <f t="array" ref="Z89">IFERROR(INDEX(Data_Cleaning!$F$2:$F$251,SMALL(IF(Data_Cleaning!$G$2:$G$251=$X5,ROW(Data_Cleaning!$G$2:$G$251)-ROW(Data_Cleaning!$G$2)+1),82)),"")</f>
        <v>Smartphone</v>
      </c>
      <c r="AA89" s="9">
        <f t="array" ref="AA89">IFERROR(INDEX(Data_Cleaning!$N$2:$N$251,SMALL(IF(Data_Cleaning!$G$2:$G$251=$X5,ROW(Data_Cleaning!$G$2:$G$251)-ROW(Data_Cleaning!$G$2)+1),82)),"")</f>
        <v>2099.9699999999998</v>
      </c>
    </row>
    <row r="90" spans="23:27" ht="15" customHeight="1" x14ac:dyDescent="0.35">
      <c r="W90" s="7" t="str">
        <f t="array" ref="W90">IFERROR(INDEX(Data_Cleaning!$A$2:$A$251,SMALL(IF(Data_Cleaning!$G$2:$G$251=$X5,ROW(Data_Cleaning!$G$2:$G$251)-ROW(Data_Cleaning!$G$2)+1),83)),"")</f>
        <v>TRX0012</v>
      </c>
      <c r="X90" s="8">
        <f t="array" ref="X90">IFERROR(INDEX(Data_Cleaning!$B$2:$B$251,SMALL(IF(Data_Cleaning!$G$2:$G$251=$X5,ROW(Data_Cleaning!$G$2:$G$251)-ROW(Data_Cleaning!$G$2)+1),83)),"")</f>
        <v>45622</v>
      </c>
      <c r="Y90" s="7" t="str">
        <f t="array" ref="Y90">IFERROR(INDEX(Data_Cleaning!$D$2:$D$251,SMALL(IF(Data_Cleaning!$G$2:$G$251=$X5,ROW(Data_Cleaning!$G$2:$G$251)-ROW(Data_Cleaning!$G$2)+1),83)),"")</f>
        <v>Douglas Watson</v>
      </c>
      <c r="Z90" s="7" t="str">
        <f t="array" ref="Z90">IFERROR(INDEX(Data_Cleaning!$F$2:$F$251,SMALL(IF(Data_Cleaning!$G$2:$G$251=$X5,ROW(Data_Cleaning!$G$2:$G$251)-ROW(Data_Cleaning!$G$2)+1),83)),"")</f>
        <v>Monitor</v>
      </c>
      <c r="AA90" s="9">
        <f t="array" ref="AA90">IFERROR(INDEX(Data_Cleaning!$N$2:$N$251,SMALL(IF(Data_Cleaning!$G$2:$G$251=$X5,ROW(Data_Cleaning!$G$2:$G$251)-ROW(Data_Cleaning!$G$2)+1),83)),"")</f>
        <v>1249.95</v>
      </c>
    </row>
    <row r="91" spans="23:27" ht="15" customHeight="1" x14ac:dyDescent="0.35">
      <c r="W91" s="7" t="str">
        <f t="array" ref="W91">IFERROR(INDEX(Data_Cleaning!$A$2:$A$251,SMALL(IF(Data_Cleaning!$G$2:$G$251=$X5,ROW(Data_Cleaning!$G$2:$G$251)-ROW(Data_Cleaning!$G$2)+1),84)),"")</f>
        <v>TRX0094</v>
      </c>
      <c r="X91" s="8">
        <f t="array" ref="X91">IFERROR(INDEX(Data_Cleaning!$B$2:$B$251,SMALL(IF(Data_Cleaning!$G$2:$G$251=$X5,ROW(Data_Cleaning!$G$2:$G$251)-ROW(Data_Cleaning!$G$2)+1),84)),"")</f>
        <v>45627</v>
      </c>
      <c r="Y91" s="7" t="str">
        <f t="array" ref="Y91">IFERROR(INDEX(Data_Cleaning!$D$2:$D$251,SMALL(IF(Data_Cleaning!$G$2:$G$251=$X5,ROW(Data_Cleaning!$G$2:$G$251)-ROW(Data_Cleaning!$G$2)+1),84)),"")</f>
        <v>Charles Allen</v>
      </c>
      <c r="Z91" s="7" t="str">
        <f t="array" ref="Z91">IFERROR(INDEX(Data_Cleaning!$F$2:$F$251,SMALL(IF(Data_Cleaning!$G$2:$G$251=$X5,ROW(Data_Cleaning!$G$2:$G$251)-ROW(Data_Cleaning!$G$2)+1),84)),"")</f>
        <v>Monitor</v>
      </c>
      <c r="AA91" s="9">
        <f t="array" ref="AA91">IFERROR(INDEX(Data_Cleaning!$N$2:$N$251,SMALL(IF(Data_Cleaning!$G$2:$G$251=$X5,ROW(Data_Cleaning!$G$2:$G$251)-ROW(Data_Cleaning!$G$2)+1),84)),"")</f>
        <v>1249.95</v>
      </c>
    </row>
    <row r="92" spans="23:27" ht="15" customHeight="1" x14ac:dyDescent="0.35">
      <c r="W92" s="7" t="str">
        <f t="array" ref="W92">IFERROR(INDEX(Data_Cleaning!$A$2:$A$251,SMALL(IF(Data_Cleaning!$G$2:$G$251=$X5,ROW(Data_Cleaning!$G$2:$G$251)-ROW(Data_Cleaning!$G$2)+1),85)),"")</f>
        <v>TRX0133</v>
      </c>
      <c r="X92" s="8">
        <f t="array" ref="X92">IFERROR(INDEX(Data_Cleaning!$B$2:$B$251,SMALL(IF(Data_Cleaning!$G$2:$G$251=$X5,ROW(Data_Cleaning!$G$2:$G$251)-ROW(Data_Cleaning!$G$2)+1),85)),"")</f>
        <v>45627</v>
      </c>
      <c r="Y92" s="7" t="str">
        <f t="array" ref="Y92">IFERROR(INDEX(Data_Cleaning!$D$2:$D$251,SMALL(IF(Data_Cleaning!$G$2:$G$251=$X5,ROW(Data_Cleaning!$G$2:$G$251)-ROW(Data_Cleaning!$G$2)+1),85)),"")</f>
        <v>Joseph Jackson</v>
      </c>
      <c r="Z92" s="7" t="str">
        <f t="array" ref="Z92">IFERROR(INDEX(Data_Cleaning!$F$2:$F$251,SMALL(IF(Data_Cleaning!$G$2:$G$251=$X5,ROW(Data_Cleaning!$G$2:$G$251)-ROW(Data_Cleaning!$G$2)+1),85)),"")</f>
        <v>Headphones</v>
      </c>
      <c r="AA92" s="9">
        <f t="array" ref="AA92">IFERROR(INDEX(Data_Cleaning!$N$2:$N$251,SMALL(IF(Data_Cleaning!$G$2:$G$251=$X5,ROW(Data_Cleaning!$G$2:$G$251)-ROW(Data_Cleaning!$G$2)+1),85)),"")</f>
        <v>299.98</v>
      </c>
    </row>
    <row r="93" spans="23:27" ht="15" customHeight="1" x14ac:dyDescent="0.35">
      <c r="W93" s="7" t="str">
        <f t="array" ref="W93">IFERROR(INDEX(Data_Cleaning!$A$2:$A$251,SMALL(IF(Data_Cleaning!$G$2:$G$251=$X5,ROW(Data_Cleaning!$G$2:$G$251)-ROW(Data_Cleaning!$G$2)+1),86)),"")</f>
        <v>TRX0201</v>
      </c>
      <c r="X93" s="8">
        <f t="array" ref="X93">IFERROR(INDEX(Data_Cleaning!$B$2:$B$251,SMALL(IF(Data_Cleaning!$G$2:$G$251=$X5,ROW(Data_Cleaning!$G$2:$G$251)-ROW(Data_Cleaning!$G$2)+1),86)),"")</f>
        <v>45627</v>
      </c>
      <c r="Y93" s="7" t="str">
        <f t="array" ref="Y93">IFERROR(INDEX(Data_Cleaning!$D$2:$D$251,SMALL(IF(Data_Cleaning!$G$2:$G$251=$X5,ROW(Data_Cleaning!$G$2:$G$251)-ROW(Data_Cleaning!$G$2)+1),86)),"")</f>
        <v>Mark Carter</v>
      </c>
      <c r="Z93" s="7" t="str">
        <f t="array" ref="Z93">IFERROR(INDEX(Data_Cleaning!$F$2:$F$251,SMALL(IF(Data_Cleaning!$G$2:$G$251=$X5,ROW(Data_Cleaning!$G$2:$G$251)-ROW(Data_Cleaning!$G$2)+1),86)),"")</f>
        <v>Smartphone</v>
      </c>
      <c r="AA93" s="9">
        <f t="array" ref="AA93">IFERROR(INDEX(Data_Cleaning!$N$2:$N$251,SMALL(IF(Data_Cleaning!$G$2:$G$251=$X5,ROW(Data_Cleaning!$G$2:$G$251)-ROW(Data_Cleaning!$G$2)+1),86)),"")</f>
        <v>3499.95</v>
      </c>
    </row>
    <row r="94" spans="23:27" ht="15" customHeight="1" x14ac:dyDescent="0.35">
      <c r="W94" s="7" t="str">
        <f t="array" ref="W94">IFERROR(INDEX(Data_Cleaning!$A$2:$A$251,SMALL(IF(Data_Cleaning!$G$2:$G$251=$X5,ROW(Data_Cleaning!$G$2:$G$251)-ROW(Data_Cleaning!$G$2)+1),87)),"")</f>
        <v>TRX0137</v>
      </c>
      <c r="X94" s="8">
        <f t="array" ref="X94">IFERROR(INDEX(Data_Cleaning!$B$2:$B$251,SMALL(IF(Data_Cleaning!$G$2:$G$251=$X5,ROW(Data_Cleaning!$G$2:$G$251)-ROW(Data_Cleaning!$G$2)+1),87)),"")</f>
        <v>45629</v>
      </c>
      <c r="Y94" s="7" t="str">
        <f t="array" ref="Y94">IFERROR(INDEX(Data_Cleaning!$D$2:$D$251,SMALL(IF(Data_Cleaning!$G$2:$G$251=$X5,ROW(Data_Cleaning!$G$2:$G$251)-ROW(Data_Cleaning!$G$2)+1),87)),"")</f>
        <v>William White</v>
      </c>
      <c r="Z94" s="7" t="str">
        <f t="array" ref="Z94">IFERROR(INDEX(Data_Cleaning!$F$2:$F$251,SMALL(IF(Data_Cleaning!$G$2:$G$251=$X5,ROW(Data_Cleaning!$G$2:$G$251)-ROW(Data_Cleaning!$G$2)+1),87)),"")</f>
        <v>Monitor</v>
      </c>
      <c r="AA94" s="9">
        <f t="array" ref="AA94">IFERROR(INDEX(Data_Cleaning!$N$2:$N$251,SMALL(IF(Data_Cleaning!$G$2:$G$251=$X5,ROW(Data_Cleaning!$G$2:$G$251)-ROW(Data_Cleaning!$G$2)+1),87)),"")</f>
        <v>999.96</v>
      </c>
    </row>
    <row r="95" spans="23:27" ht="15" customHeight="1" x14ac:dyDescent="0.35">
      <c r="W95" s="7" t="str">
        <f t="array" ref="W95">IFERROR(INDEX(Data_Cleaning!$A$2:$A$251,SMALL(IF(Data_Cleaning!$G$2:$G$251=$X5,ROW(Data_Cleaning!$G$2:$G$251)-ROW(Data_Cleaning!$G$2)+1),88)),"")</f>
        <v>TRX0066</v>
      </c>
      <c r="X95" s="8">
        <f t="array" ref="X95">IFERROR(INDEX(Data_Cleaning!$B$2:$B$251,SMALL(IF(Data_Cleaning!$G$2:$G$251=$X5,ROW(Data_Cleaning!$G$2:$G$251)-ROW(Data_Cleaning!$G$2)+1),88)),"")</f>
        <v>45630</v>
      </c>
      <c r="Y95" s="7" t="str">
        <f t="array" ref="Y95">IFERROR(INDEX(Data_Cleaning!$D$2:$D$251,SMALL(IF(Data_Cleaning!$G$2:$G$251=$X5,ROW(Data_Cleaning!$G$2:$G$251)-ROW(Data_Cleaning!$G$2)+1),88)),"")</f>
        <v>Dorothy Nelson</v>
      </c>
      <c r="Z95" s="7" t="str">
        <f t="array" ref="Z95">IFERROR(INDEX(Data_Cleaning!$F$2:$F$251,SMALL(IF(Data_Cleaning!$G$2:$G$251=$X5,ROW(Data_Cleaning!$G$2:$G$251)-ROW(Data_Cleaning!$G$2)+1),88)),"")</f>
        <v>Smartphone</v>
      </c>
      <c r="AA95" s="9">
        <f t="array" ref="AA95">IFERROR(INDEX(Data_Cleaning!$N$2:$N$251,SMALL(IF(Data_Cleaning!$G$2:$G$251=$X5,ROW(Data_Cleaning!$G$2:$G$251)-ROW(Data_Cleaning!$G$2)+1),88)),"")</f>
        <v>2799.96</v>
      </c>
    </row>
    <row r="96" spans="23:27" ht="15" customHeight="1" x14ac:dyDescent="0.35">
      <c r="W96" s="7" t="str">
        <f t="array" ref="W96">IFERROR(INDEX(Data_Cleaning!$A$2:$A$251,SMALL(IF(Data_Cleaning!$G$2:$G$251=$X5,ROW(Data_Cleaning!$G$2:$G$251)-ROW(Data_Cleaning!$G$2)+1),89)),"")</f>
        <v>TRX0180</v>
      </c>
      <c r="X96" s="8">
        <f t="array" ref="X96">IFERROR(INDEX(Data_Cleaning!$B$2:$B$251,SMALL(IF(Data_Cleaning!$G$2:$G$251=$X5,ROW(Data_Cleaning!$G$2:$G$251)-ROW(Data_Cleaning!$G$2)+1),89)),"")</f>
        <v>45635</v>
      </c>
      <c r="Y96" s="7" t="str">
        <f t="array" ref="Y96">IFERROR(INDEX(Data_Cleaning!$D$2:$D$251,SMALL(IF(Data_Cleaning!$G$2:$G$251=$X5,ROW(Data_Cleaning!$G$2:$G$251)-ROW(Data_Cleaning!$G$2)+1),89)),"")</f>
        <v>Nancy Collins</v>
      </c>
      <c r="Z96" s="7" t="str">
        <f t="array" ref="Z96">IFERROR(INDEX(Data_Cleaning!$F$2:$F$251,SMALL(IF(Data_Cleaning!$G$2:$G$251=$X5,ROW(Data_Cleaning!$G$2:$G$251)-ROW(Data_Cleaning!$G$2)+1),89)),"")</f>
        <v>Monitor</v>
      </c>
      <c r="AA96" s="9">
        <f t="array" ref="AA96">IFERROR(INDEX(Data_Cleaning!$N$2:$N$251,SMALL(IF(Data_Cleaning!$G$2:$G$251=$X5,ROW(Data_Cleaning!$G$2:$G$251)-ROW(Data_Cleaning!$G$2)+1),89)),"")</f>
        <v>499.98</v>
      </c>
    </row>
    <row r="97" spans="23:27" ht="15" customHeight="1" x14ac:dyDescent="0.35">
      <c r="W97" s="7" t="str">
        <f t="array" ref="W97">IFERROR(INDEX(Data_Cleaning!$A$2:$A$251,SMALL(IF(Data_Cleaning!$G$2:$G$251=$X5,ROW(Data_Cleaning!$G$2:$G$251)-ROW(Data_Cleaning!$G$2)+1),90)),"")</f>
        <v>TRX0032</v>
      </c>
      <c r="X97" s="8">
        <f t="array" ref="X97">IFERROR(INDEX(Data_Cleaning!$B$2:$B$251,SMALL(IF(Data_Cleaning!$G$2:$G$251=$X5,ROW(Data_Cleaning!$G$2:$G$251)-ROW(Data_Cleaning!$G$2)+1),90)),"")</f>
        <v>45638</v>
      </c>
      <c r="Y97" s="7" t="str">
        <f t="array" ref="Y97">IFERROR(INDEX(Data_Cleaning!$D$2:$D$251,SMALL(IF(Data_Cleaning!$G$2:$G$251=$X5,ROW(Data_Cleaning!$G$2:$G$251)-ROW(Data_Cleaning!$G$2)+1),90)),"")</f>
        <v>Peter Richardson</v>
      </c>
      <c r="Z97" s="7" t="str">
        <f t="array" ref="Z97">IFERROR(INDEX(Data_Cleaning!$F$2:$F$251,SMALL(IF(Data_Cleaning!$G$2:$G$251=$X5,ROW(Data_Cleaning!$G$2:$G$251)-ROW(Data_Cleaning!$G$2)+1),90)),"")</f>
        <v>Laptop</v>
      </c>
      <c r="AA97" s="9">
        <f t="array" ref="AA97">IFERROR(INDEX(Data_Cleaning!$N$2:$N$251,SMALL(IF(Data_Cleaning!$G$2:$G$251=$X5,ROW(Data_Cleaning!$G$2:$G$251)-ROW(Data_Cleaning!$G$2)+1),90)),"")</f>
        <v>1799.98</v>
      </c>
    </row>
    <row r="98" spans="23:27" ht="15" customHeight="1" x14ac:dyDescent="0.35">
      <c r="W98" s="7" t="str">
        <f t="array" ref="W98">IFERROR(INDEX(Data_Cleaning!$A$2:$A$251,SMALL(IF(Data_Cleaning!$G$2:$G$251=$X5,ROW(Data_Cleaning!$G$2:$G$251)-ROW(Data_Cleaning!$G$2)+1),91)),"")</f>
        <v>TRX0183</v>
      </c>
      <c r="X98" s="8">
        <f t="array" ref="X98">IFERROR(INDEX(Data_Cleaning!$B$2:$B$251,SMALL(IF(Data_Cleaning!$G$2:$G$251=$X5,ROW(Data_Cleaning!$G$2:$G$251)-ROW(Data_Cleaning!$G$2)+1),91)),"")</f>
        <v>45645</v>
      </c>
      <c r="Y98" s="7" t="str">
        <f t="array" ref="Y98">IFERROR(INDEX(Data_Cleaning!$D$2:$D$251,SMALL(IF(Data_Cleaning!$G$2:$G$251=$X5,ROW(Data_Cleaning!$G$2:$G$251)-ROW(Data_Cleaning!$G$2)+1),91)),"")</f>
        <v>David Martinez</v>
      </c>
      <c r="Z98" s="7" t="str">
        <f t="array" ref="Z98">IFERROR(INDEX(Data_Cleaning!$F$2:$F$251,SMALL(IF(Data_Cleaning!$G$2:$G$251=$X5,ROW(Data_Cleaning!$G$2:$G$251)-ROW(Data_Cleaning!$G$2)+1),91)),"")</f>
        <v>Keyboard</v>
      </c>
      <c r="AA98" s="9">
        <f t="array" ref="AA98">IFERROR(INDEX(Data_Cleaning!$N$2:$N$251,SMALL(IF(Data_Cleaning!$G$2:$G$251=$X5,ROW(Data_Cleaning!$G$2:$G$251)-ROW(Data_Cleaning!$G$2)+1),91)),"")</f>
        <v>89.99</v>
      </c>
    </row>
    <row r="99" spans="23:27" ht="15" customHeight="1" x14ac:dyDescent="0.35">
      <c r="W99" s="7" t="str">
        <f t="array" ref="W99">IFERROR(INDEX(Data_Cleaning!$A$2:$A$251,SMALL(IF(Data_Cleaning!$G$2:$G$251=$X5,ROW(Data_Cleaning!$G$2:$G$251)-ROW(Data_Cleaning!$G$2)+1),92)),"")</f>
        <v>TRX0163</v>
      </c>
      <c r="X99" s="8">
        <f t="array" ref="X99">IFERROR(INDEX(Data_Cleaning!$B$2:$B$251,SMALL(IF(Data_Cleaning!$G$2:$G$251=$X5,ROW(Data_Cleaning!$G$2:$G$251)-ROW(Data_Cleaning!$G$2)+1),92)),"")</f>
        <v>45645</v>
      </c>
      <c r="Y99" s="7" t="str">
        <f t="array" ref="Y99">IFERROR(INDEX(Data_Cleaning!$D$2:$D$251,SMALL(IF(Data_Cleaning!$G$2:$G$251=$X5,ROW(Data_Cleaning!$G$2:$G$251)-ROW(Data_Cleaning!$G$2)+1),92)),"")</f>
        <v>Daniel King</v>
      </c>
      <c r="Z99" s="7" t="str">
        <f t="array" ref="Z99">IFERROR(INDEX(Data_Cleaning!$F$2:$F$251,SMALL(IF(Data_Cleaning!$G$2:$G$251=$X5,ROW(Data_Cleaning!$G$2:$G$251)-ROW(Data_Cleaning!$G$2)+1),92)),"")</f>
        <v>Laptop</v>
      </c>
      <c r="AA99" s="9">
        <f t="array" ref="AA99">IFERROR(INDEX(Data_Cleaning!$N$2:$N$251,SMALL(IF(Data_Cleaning!$G$2:$G$251=$X5,ROW(Data_Cleaning!$G$2:$G$251)-ROW(Data_Cleaning!$G$2)+1),92)),"")</f>
        <v>4499.95</v>
      </c>
    </row>
    <row r="100" spans="23:27" ht="15" customHeight="1" x14ac:dyDescent="0.35">
      <c r="W100" s="7" t="str">
        <f t="array" ref="W100">IFERROR(INDEX(Data_Cleaning!$A$2:$A$251,SMALL(IF(Data_Cleaning!$G$2:$G$251=$X5,ROW(Data_Cleaning!$G$2:$G$251)-ROW(Data_Cleaning!$G$2)+1),93)),"")</f>
        <v>TRX0164</v>
      </c>
      <c r="X100" s="8">
        <f t="array" ref="X100">IFERROR(INDEX(Data_Cleaning!$B$2:$B$251,SMALL(IF(Data_Cleaning!$G$2:$G$251=$X5,ROW(Data_Cleaning!$G$2:$G$251)-ROW(Data_Cleaning!$G$2)+1),93)),"")</f>
        <v>45648</v>
      </c>
      <c r="Y100" s="7" t="str">
        <f t="array" ref="Y100">IFERROR(INDEX(Data_Cleaning!$D$2:$D$251,SMALL(IF(Data_Cleaning!$G$2:$G$251=$X5,ROW(Data_Cleaning!$G$2:$G$251)-ROW(Data_Cleaning!$G$2)+1),93)),"")</f>
        <v>Linda Martin</v>
      </c>
      <c r="Z100" s="7" t="str">
        <f t="array" ref="Z100">IFERROR(INDEX(Data_Cleaning!$F$2:$F$251,SMALL(IF(Data_Cleaning!$G$2:$G$251=$X5,ROW(Data_Cleaning!$G$2:$G$251)-ROW(Data_Cleaning!$G$2)+1),93)),"")</f>
        <v>Headphones</v>
      </c>
      <c r="AA100" s="9">
        <f t="array" ref="AA100">IFERROR(INDEX(Data_Cleaning!$N$2:$N$251,SMALL(IF(Data_Cleaning!$G$2:$G$251=$X5,ROW(Data_Cleaning!$G$2:$G$251)-ROW(Data_Cleaning!$G$2)+1),93)),"")</f>
        <v>299.98</v>
      </c>
    </row>
    <row r="101" spans="23:27" ht="15" customHeight="1" x14ac:dyDescent="0.35">
      <c r="W101" s="7" t="str">
        <f t="array" ref="W101">IFERROR(INDEX(Data_Cleaning!$A$2:$A$251,SMALL(IF(Data_Cleaning!$G$2:$G$251=$X5,ROW(Data_Cleaning!$G$2:$G$251)-ROW(Data_Cleaning!$G$2)+1),94)),"")</f>
        <v>TRX0156</v>
      </c>
      <c r="X101" s="8">
        <f t="array" ref="X101">IFERROR(INDEX(Data_Cleaning!$B$2:$B$251,SMALL(IF(Data_Cleaning!$G$2:$G$251=$X5,ROW(Data_Cleaning!$G$2:$G$251)-ROW(Data_Cleaning!$G$2)+1),94)),"")</f>
        <v>45655</v>
      </c>
      <c r="Y101" s="7" t="str">
        <f t="array" ref="Y101">IFERROR(INDEX(Data_Cleaning!$D$2:$D$251,SMALL(IF(Data_Cleaning!$G$2:$G$251=$X5,ROW(Data_Cleaning!$G$2:$G$251)-ROW(Data_Cleaning!$G$2)+1),94)),"")</f>
        <v>Robert Thomas</v>
      </c>
      <c r="Z101" s="7" t="str">
        <f t="array" ref="Z101">IFERROR(INDEX(Data_Cleaning!$F$2:$F$251,SMALL(IF(Data_Cleaning!$G$2:$G$251=$X5,ROW(Data_Cleaning!$G$2:$G$251)-ROW(Data_Cleaning!$G$2)+1),94)),"")</f>
        <v>Keyboard</v>
      </c>
      <c r="AA101" s="9">
        <f t="array" ref="AA101">IFERROR(INDEX(Data_Cleaning!$N$2:$N$251,SMALL(IF(Data_Cleaning!$G$2:$G$251=$X5,ROW(Data_Cleaning!$G$2:$G$251)-ROW(Data_Cleaning!$G$2)+1),94)),"")</f>
        <v>89.99</v>
      </c>
    </row>
    <row r="102" spans="23:27" ht="15" customHeight="1" x14ac:dyDescent="0.35">
      <c r="W102" s="7" t="str">
        <f t="array" ref="W102">IFERROR(INDEX(Data_Cleaning!$A$2:$A$251,SMALL(IF(Data_Cleaning!$G$2:$G$251=$X5,ROW(Data_Cleaning!$G$2:$G$251)-ROW(Data_Cleaning!$G$2)+1),95)),"")</f>
        <v>TRX0207</v>
      </c>
      <c r="X102" s="8">
        <f t="array" ref="X102">IFERROR(INDEX(Data_Cleaning!$B$2:$B$251,SMALL(IF(Data_Cleaning!$G$2:$G$251=$X5,ROW(Data_Cleaning!$G$2:$G$251)-ROW(Data_Cleaning!$G$2)+1),95)),"")</f>
        <v>45657</v>
      </c>
      <c r="Y102" s="7" t="str">
        <f t="array" ref="Y102">IFERROR(INDEX(Data_Cleaning!$D$2:$D$251,SMALL(IF(Data_Cleaning!$G$2:$G$251=$X5,ROW(Data_Cleaning!$G$2:$G$251)-ROW(Data_Cleaning!$G$2)+1),95)),"")</f>
        <v>Mark Carter</v>
      </c>
      <c r="Z102" s="7" t="str">
        <f t="array" ref="Z102">IFERROR(INDEX(Data_Cleaning!$F$2:$F$251,SMALL(IF(Data_Cleaning!$G$2:$G$251=$X5,ROW(Data_Cleaning!$G$2:$G$251)-ROW(Data_Cleaning!$G$2)+1),95)),"")</f>
        <v>Laptop</v>
      </c>
      <c r="AA102" s="9">
        <f t="array" ref="AA102">IFERROR(INDEX(Data_Cleaning!$N$2:$N$251,SMALL(IF(Data_Cleaning!$G$2:$G$251=$X5,ROW(Data_Cleaning!$G$2:$G$251)-ROW(Data_Cleaning!$G$2)+1),95)),"")</f>
        <v>899.99</v>
      </c>
    </row>
    <row r="103" spans="23:27" ht="15" customHeight="1" x14ac:dyDescent="0.35">
      <c r="W103" s="7" t="str">
        <f t="array" ref="W103">IFERROR(INDEX(Data_Cleaning!$A$2:$A$251,SMALL(IF(Data_Cleaning!$G$2:$G$251=$X5,ROW(Data_Cleaning!$G$2:$G$251)-ROW(Data_Cleaning!$G$2)+1),96)),"")</f>
        <v>TRX0056</v>
      </c>
      <c r="X103" s="8">
        <f t="array" ref="X103">IFERROR(INDEX(Data_Cleaning!$B$2:$B$251,SMALL(IF(Data_Cleaning!$G$2:$G$251=$X5,ROW(Data_Cleaning!$G$2:$G$251)-ROW(Data_Cleaning!$G$2)+1),96)),"")</f>
        <v>45660</v>
      </c>
      <c r="Y103" s="7" t="str">
        <f t="array" ref="Y103">IFERROR(INDEX(Data_Cleaning!$D$2:$D$251,SMALL(IF(Data_Cleaning!$G$2:$G$251=$X5,ROW(Data_Cleaning!$G$2:$G$251)-ROW(Data_Cleaning!$G$2)+1),96)),"")</f>
        <v>Daniel King</v>
      </c>
      <c r="Z103" s="7" t="str">
        <f t="array" ref="Z103">IFERROR(INDEX(Data_Cleaning!$F$2:$F$251,SMALL(IF(Data_Cleaning!$G$2:$G$251=$X5,ROW(Data_Cleaning!$G$2:$G$251)-ROW(Data_Cleaning!$G$2)+1),96)),"")</f>
        <v>Keyboard</v>
      </c>
      <c r="AA103" s="9">
        <f t="array" ref="AA103">IFERROR(INDEX(Data_Cleaning!$N$2:$N$251,SMALL(IF(Data_Cleaning!$G$2:$G$251=$X5,ROW(Data_Cleaning!$G$2:$G$251)-ROW(Data_Cleaning!$G$2)+1),96)),"")</f>
        <v>179.98</v>
      </c>
    </row>
    <row r="104" spans="23:27" ht="15" customHeight="1" x14ac:dyDescent="0.35">
      <c r="W104" s="7" t="str">
        <f t="array" ref="W104">IFERROR(INDEX(Data_Cleaning!$A$2:$A$251,SMALL(IF(Data_Cleaning!$G$2:$G$251=$X5,ROW(Data_Cleaning!$G$2:$G$251)-ROW(Data_Cleaning!$G$2)+1),97)),"")</f>
        <v>TRX0026</v>
      </c>
      <c r="X104" s="8">
        <f t="array" ref="X104">IFERROR(INDEX(Data_Cleaning!$B$2:$B$251,SMALL(IF(Data_Cleaning!$G$2:$G$251=$X5,ROW(Data_Cleaning!$G$2:$G$251)-ROW(Data_Cleaning!$G$2)+1),97)),"")</f>
        <v>45661</v>
      </c>
      <c r="Y104" s="7" t="str">
        <f t="array" ref="Y104">IFERROR(INDEX(Data_Cleaning!$D$2:$D$251,SMALL(IF(Data_Cleaning!$G$2:$G$251=$X5,ROW(Data_Cleaning!$G$2:$G$251)-ROW(Data_Cleaning!$G$2)+1),97)),"")</f>
        <v>Arthur Edwards</v>
      </c>
      <c r="Z104" s="7" t="str">
        <f t="array" ref="Z104">IFERROR(INDEX(Data_Cleaning!$F$2:$F$251,SMALL(IF(Data_Cleaning!$G$2:$G$251=$X5,ROW(Data_Cleaning!$G$2:$G$251)-ROW(Data_Cleaning!$G$2)+1),97)),"")</f>
        <v>Laptop</v>
      </c>
      <c r="AA104" s="9">
        <f t="array" ref="AA104">IFERROR(INDEX(Data_Cleaning!$N$2:$N$251,SMALL(IF(Data_Cleaning!$G$2:$G$251=$X5,ROW(Data_Cleaning!$G$2:$G$251)-ROW(Data_Cleaning!$G$2)+1),97)),"")</f>
        <v>899.99</v>
      </c>
    </row>
    <row r="105" spans="23:27" ht="15" customHeight="1" x14ac:dyDescent="0.35">
      <c r="W105" s="7" t="str">
        <f t="array" ref="W105">IFERROR(INDEX(Data_Cleaning!$A$2:$A$251,SMALL(IF(Data_Cleaning!$G$2:$G$251=$X5,ROW(Data_Cleaning!$G$2:$G$251)-ROW(Data_Cleaning!$G$2)+1),98)),"")</f>
        <v>TRX0237</v>
      </c>
      <c r="X105" s="8">
        <f t="array" ref="X105">IFERROR(INDEX(Data_Cleaning!$B$2:$B$251,SMALL(IF(Data_Cleaning!$G$2:$G$251=$X5,ROW(Data_Cleaning!$G$2:$G$251)-ROW(Data_Cleaning!$G$2)+1),98)),"")</f>
        <v>45663</v>
      </c>
      <c r="Y105" s="7" t="str">
        <f t="array" ref="Y105">IFERROR(INDEX(Data_Cleaning!$D$2:$D$251,SMALL(IF(Data_Cleaning!$G$2:$G$251=$X5,ROW(Data_Cleaning!$G$2:$G$251)-ROW(Data_Cleaning!$G$2)+1),98)),"")</f>
        <v>Lisa Anderson</v>
      </c>
      <c r="Z105" s="7" t="str">
        <f t="array" ref="Z105">IFERROR(INDEX(Data_Cleaning!$F$2:$F$251,SMALL(IF(Data_Cleaning!$G$2:$G$251=$X5,ROW(Data_Cleaning!$G$2:$G$251)-ROW(Data_Cleaning!$G$2)+1),98)),"")</f>
        <v>Headphones</v>
      </c>
      <c r="AA105" s="9">
        <f t="array" ref="AA105">IFERROR(INDEX(Data_Cleaning!$N$2:$N$251,SMALL(IF(Data_Cleaning!$G$2:$G$251=$X5,ROW(Data_Cleaning!$G$2:$G$251)-ROW(Data_Cleaning!$G$2)+1),98)),"")</f>
        <v>749.95</v>
      </c>
    </row>
    <row r="106" spans="23:27" ht="15" customHeight="1" x14ac:dyDescent="0.35">
      <c r="W106" s="7" t="str">
        <f t="array" ref="W106">IFERROR(INDEX(Data_Cleaning!$A$2:$A$251,SMALL(IF(Data_Cleaning!$G$2:$G$251=$X5,ROW(Data_Cleaning!$G$2:$G$251)-ROW(Data_Cleaning!$G$2)+1),99)),"")</f>
        <v>TRX0125</v>
      </c>
      <c r="X106" s="8">
        <f t="array" ref="X106">IFERROR(INDEX(Data_Cleaning!$B$2:$B$251,SMALL(IF(Data_Cleaning!$G$2:$G$251=$X5,ROW(Data_Cleaning!$G$2:$G$251)-ROW(Data_Cleaning!$G$2)+1),99)),"")</f>
        <v>45666</v>
      </c>
      <c r="Y106" s="7" t="str">
        <f t="array" ref="Y106">IFERROR(INDEX(Data_Cleaning!$D$2:$D$251,SMALL(IF(Data_Cleaning!$G$2:$G$251=$X5,ROW(Data_Cleaning!$G$2:$G$251)-ROW(Data_Cleaning!$G$2)+1),99)),"")</f>
        <v>Karen Hill</v>
      </c>
      <c r="Z106" s="7" t="str">
        <f t="array" ref="Z106">IFERROR(INDEX(Data_Cleaning!$F$2:$F$251,SMALL(IF(Data_Cleaning!$G$2:$G$251=$X5,ROW(Data_Cleaning!$G$2:$G$251)-ROW(Data_Cleaning!$G$2)+1),99)),"")</f>
        <v>Smartphone</v>
      </c>
      <c r="AA106" s="9">
        <f t="array" ref="AA106">IFERROR(INDEX(Data_Cleaning!$N$2:$N$251,SMALL(IF(Data_Cleaning!$G$2:$G$251=$X5,ROW(Data_Cleaning!$G$2:$G$251)-ROW(Data_Cleaning!$G$2)+1),99)),"")</f>
        <v>2099.9699999999998</v>
      </c>
    </row>
    <row r="107" spans="23:27" ht="15" customHeight="1" x14ac:dyDescent="0.35">
      <c r="W107" s="7" t="str">
        <f t="array" ref="W107">IFERROR(INDEX(Data_Cleaning!$A$2:$A$251,SMALL(IF(Data_Cleaning!$G$2:$G$251=$X5,ROW(Data_Cleaning!$G$2:$G$251)-ROW(Data_Cleaning!$G$2)+1),100)),"")</f>
        <v>TRX0243</v>
      </c>
      <c r="X107" s="8">
        <f t="array" ref="X107">IFERROR(INDEX(Data_Cleaning!$B$2:$B$251,SMALL(IF(Data_Cleaning!$G$2:$G$251=$X5,ROW(Data_Cleaning!$G$2:$G$251)-ROW(Data_Cleaning!$G$2)+1),100)),"")</f>
        <v>45667</v>
      </c>
      <c r="Y107" s="7" t="str">
        <f t="array" ref="Y107">IFERROR(INDEX(Data_Cleaning!$D$2:$D$251,SMALL(IF(Data_Cleaning!$G$2:$G$251=$X5,ROW(Data_Cleaning!$G$2:$G$251)-ROW(Data_Cleaning!$G$2)+1),100)),"")</f>
        <v>Virginia Sanders</v>
      </c>
      <c r="Z107" s="7" t="str">
        <f t="array" ref="Z107">IFERROR(INDEX(Data_Cleaning!$F$2:$F$251,SMALL(IF(Data_Cleaning!$G$2:$G$251=$X5,ROW(Data_Cleaning!$G$2:$G$251)-ROW(Data_Cleaning!$G$2)+1),100)),"")</f>
        <v>Monitor</v>
      </c>
      <c r="AA107" s="9">
        <f t="array" ref="AA107">IFERROR(INDEX(Data_Cleaning!$N$2:$N$251,SMALL(IF(Data_Cleaning!$G$2:$G$251=$X5,ROW(Data_Cleaning!$G$2:$G$251)-ROW(Data_Cleaning!$G$2)+1),100)),"")</f>
        <v>1249.95</v>
      </c>
    </row>
    <row r="108" spans="23:27" ht="15" customHeight="1" x14ac:dyDescent="0.35">
      <c r="W108" s="7" t="str">
        <f t="array" ref="W108">IFERROR(INDEX(Data_Cleaning!$A$2:$A$251,SMALL(IF(Data_Cleaning!$G$2:$G$251=$X5,ROW(Data_Cleaning!$G$2:$G$251)-ROW(Data_Cleaning!$G$2)+1),101)),"")</f>
        <v>TRX0084</v>
      </c>
      <c r="X108" s="8">
        <f t="array" ref="X108">IFERROR(INDEX(Data_Cleaning!$B$2:$B$251,SMALL(IF(Data_Cleaning!$G$2:$G$251=$X5,ROW(Data_Cleaning!$G$2:$G$251)-ROW(Data_Cleaning!$G$2)+1),101)),"")</f>
        <v>45668</v>
      </c>
      <c r="Y108" s="7" t="str">
        <f t="array" ref="Y108">IFERROR(INDEX(Data_Cleaning!$D$2:$D$251,SMALL(IF(Data_Cleaning!$G$2:$G$251=$X5,ROW(Data_Cleaning!$G$2:$G$251)-ROW(Data_Cleaning!$G$2)+1),101)),"")</f>
        <v>Steven Turner</v>
      </c>
      <c r="Z108" s="7" t="str">
        <f t="array" ref="Z108">IFERROR(INDEX(Data_Cleaning!$F$2:$F$251,SMALL(IF(Data_Cleaning!$G$2:$G$251=$X5,ROW(Data_Cleaning!$G$2:$G$251)-ROW(Data_Cleaning!$G$2)+1),101)),"")</f>
        <v>Headphones</v>
      </c>
      <c r="AA108" s="9">
        <f t="array" ref="AA108">IFERROR(INDEX(Data_Cleaning!$N$2:$N$251,SMALL(IF(Data_Cleaning!$G$2:$G$251=$X5,ROW(Data_Cleaning!$G$2:$G$251)-ROW(Data_Cleaning!$G$2)+1),101)),"")</f>
        <v>599.96</v>
      </c>
    </row>
    <row r="109" spans="23:27" ht="15" customHeight="1" x14ac:dyDescent="0.35">
      <c r="W109" s="7" t="str">
        <f t="array" ref="W109">IFERROR(INDEX(Data_Cleaning!$A$2:$A$251,SMALL(IF(Data_Cleaning!$G$2:$G$251=$X5,ROW(Data_Cleaning!$G$2:$G$251)-ROW(Data_Cleaning!$G$2)+1),102)),"")</f>
        <v>TRX0238</v>
      </c>
      <c r="X109" s="8">
        <f t="array" ref="X109">IFERROR(INDEX(Data_Cleaning!$B$2:$B$251,SMALL(IF(Data_Cleaning!$G$2:$G$251=$X5,ROW(Data_Cleaning!$G$2:$G$251)-ROW(Data_Cleaning!$G$2)+1),102)),"")</f>
        <v>45668</v>
      </c>
      <c r="Y109" s="7" t="str">
        <f t="array" ref="Y109">IFERROR(INDEX(Data_Cleaning!$D$2:$D$251,SMALL(IF(Data_Cleaning!$G$2:$G$251=$X5,ROW(Data_Cleaning!$G$2:$G$251)-ROW(Data_Cleaning!$G$2)+1),102)),"")</f>
        <v>Michelle Rogers</v>
      </c>
      <c r="Z109" s="7" t="str">
        <f t="array" ref="Z109">IFERROR(INDEX(Data_Cleaning!$F$2:$F$251,SMALL(IF(Data_Cleaning!$G$2:$G$251=$X5,ROW(Data_Cleaning!$G$2:$G$251)-ROW(Data_Cleaning!$G$2)+1),102)),"")</f>
        <v>Smartphone</v>
      </c>
      <c r="AA109" s="9">
        <f t="array" ref="AA109">IFERROR(INDEX(Data_Cleaning!$N$2:$N$251,SMALL(IF(Data_Cleaning!$G$2:$G$251=$X5,ROW(Data_Cleaning!$G$2:$G$251)-ROW(Data_Cleaning!$G$2)+1),102)),"")</f>
        <v>2099.9699999999998</v>
      </c>
    </row>
    <row r="110" spans="23:27" ht="15" customHeight="1" x14ac:dyDescent="0.35">
      <c r="W110" s="7" t="str">
        <f t="array" ref="W110">IFERROR(INDEX(Data_Cleaning!$A$2:$A$251,SMALL(IF(Data_Cleaning!$G$2:$G$251=$X5,ROW(Data_Cleaning!$G$2:$G$251)-ROW(Data_Cleaning!$G$2)+1),103)),"")</f>
        <v>TRX0087</v>
      </c>
      <c r="X110" s="8">
        <f t="array" ref="X110">IFERROR(INDEX(Data_Cleaning!$B$2:$B$251,SMALL(IF(Data_Cleaning!$G$2:$G$251=$X5,ROW(Data_Cleaning!$G$2:$G$251)-ROW(Data_Cleaning!$G$2)+1),103)),"")</f>
        <v>45671</v>
      </c>
      <c r="Y110" s="7" t="str">
        <f t="array" ref="Y110">IFERROR(INDEX(Data_Cleaning!$D$2:$D$251,SMALL(IF(Data_Cleaning!$G$2:$G$251=$X5,ROW(Data_Cleaning!$G$2:$G$251)-ROW(Data_Cleaning!$G$2)+1),103)),"")</f>
        <v>Betty Campbell</v>
      </c>
      <c r="Z110" s="7" t="str">
        <f t="array" ref="Z110">IFERROR(INDEX(Data_Cleaning!$F$2:$F$251,SMALL(IF(Data_Cleaning!$G$2:$G$251=$X5,ROW(Data_Cleaning!$G$2:$G$251)-ROW(Data_Cleaning!$G$2)+1),103)),"")</f>
        <v>Monitor</v>
      </c>
      <c r="AA110" s="9">
        <f t="array" ref="AA110">IFERROR(INDEX(Data_Cleaning!$N$2:$N$251,SMALL(IF(Data_Cleaning!$G$2:$G$251=$X5,ROW(Data_Cleaning!$G$2:$G$251)-ROW(Data_Cleaning!$G$2)+1),103)),"")</f>
        <v>999.96</v>
      </c>
    </row>
    <row r="111" spans="23:27" ht="15" customHeight="1" x14ac:dyDescent="0.35">
      <c r="W111" s="7" t="str">
        <f t="array" ref="W111">IFERROR(INDEX(Data_Cleaning!$A$2:$A$251,SMALL(IF(Data_Cleaning!$G$2:$G$251=$X5,ROW(Data_Cleaning!$G$2:$G$251)-ROW(Data_Cleaning!$G$2)+1),104)),"")</f>
        <v>TRX0107</v>
      </c>
      <c r="X111" s="8">
        <f t="array" ref="X111">IFERROR(INDEX(Data_Cleaning!$B$2:$B$251,SMALL(IF(Data_Cleaning!$G$2:$G$251=$X5,ROW(Data_Cleaning!$G$2:$G$251)-ROW(Data_Cleaning!$G$2)+1),104)),"")</f>
        <v>45671</v>
      </c>
      <c r="Y111" s="7" t="str">
        <f t="array" ref="Y111">IFERROR(INDEX(Data_Cleaning!$D$2:$D$251,SMALL(IF(Data_Cleaning!$G$2:$G$251=$X5,ROW(Data_Cleaning!$G$2:$G$251)-ROW(Data_Cleaning!$G$2)+1),104)),"")</f>
        <v>Helen Roberts</v>
      </c>
      <c r="Z111" s="7" t="str">
        <f t="array" ref="Z111">IFERROR(INDEX(Data_Cleaning!$F$2:$F$251,SMALL(IF(Data_Cleaning!$G$2:$G$251=$X5,ROW(Data_Cleaning!$G$2:$G$251)-ROW(Data_Cleaning!$G$2)+1),104)),"")</f>
        <v>Headphones</v>
      </c>
      <c r="AA111" s="9">
        <f t="array" ref="AA111">IFERROR(INDEX(Data_Cleaning!$N$2:$N$251,SMALL(IF(Data_Cleaning!$G$2:$G$251=$X5,ROW(Data_Cleaning!$G$2:$G$251)-ROW(Data_Cleaning!$G$2)+1),104)),"")</f>
        <v>299.98</v>
      </c>
    </row>
    <row r="112" spans="23:27" ht="15" customHeight="1" x14ac:dyDescent="0.35">
      <c r="W112" s="7" t="str">
        <f t="array" ref="W112">IFERROR(INDEX(Data_Cleaning!$A$2:$A$251,SMALL(IF(Data_Cleaning!$G$2:$G$251=$X5,ROW(Data_Cleaning!$G$2:$G$251)-ROW(Data_Cleaning!$G$2)+1),105)),"")</f>
        <v>TRX0159</v>
      </c>
      <c r="X112" s="8">
        <f t="array" ref="X112">IFERROR(INDEX(Data_Cleaning!$B$2:$B$251,SMALL(IF(Data_Cleaning!$G$2:$G$251=$X5,ROW(Data_Cleaning!$G$2:$G$251)-ROW(Data_Cleaning!$G$2)+1),105)),"")</f>
        <v>45683</v>
      </c>
      <c r="Y112" s="7" t="str">
        <f t="array" ref="Y112">IFERROR(INDEX(Data_Cleaning!$D$2:$D$251,SMALL(IF(Data_Cleaning!$G$2:$G$251=$X5,ROW(Data_Cleaning!$G$2:$G$251)-ROW(Data_Cleaning!$G$2)+1),105)),"")</f>
        <v>Dorothy Nelson</v>
      </c>
      <c r="Z112" s="7" t="str">
        <f t="array" ref="Z112">IFERROR(INDEX(Data_Cleaning!$F$2:$F$251,SMALL(IF(Data_Cleaning!$G$2:$G$251=$X5,ROW(Data_Cleaning!$G$2:$G$251)-ROW(Data_Cleaning!$G$2)+1),105)),"")</f>
        <v>Monitor</v>
      </c>
      <c r="AA112" s="9">
        <f t="array" ref="AA112">IFERROR(INDEX(Data_Cleaning!$N$2:$N$251,SMALL(IF(Data_Cleaning!$G$2:$G$251=$X5,ROW(Data_Cleaning!$G$2:$G$251)-ROW(Data_Cleaning!$G$2)+1),105)),"")</f>
        <v>999.96</v>
      </c>
    </row>
    <row r="113" spans="23:27" ht="15" customHeight="1" x14ac:dyDescent="0.35">
      <c r="W113" s="7" t="str">
        <f t="array" ref="W113">IFERROR(INDEX(Data_Cleaning!$A$2:$A$251,SMALL(IF(Data_Cleaning!$G$2:$G$251=$X5,ROW(Data_Cleaning!$G$2:$G$251)-ROW(Data_Cleaning!$G$2)+1),106)),"")</f>
        <v>TRX0030</v>
      </c>
      <c r="X113" s="8">
        <f t="array" ref="X113">IFERROR(INDEX(Data_Cleaning!$B$2:$B$251,SMALL(IF(Data_Cleaning!$G$2:$G$251=$X5,ROW(Data_Cleaning!$G$2:$G$251)-ROW(Data_Cleaning!$G$2)+1),106)),"")</f>
        <v>45686</v>
      </c>
      <c r="Y113" s="7" t="str">
        <f t="array" ref="Y113">IFERROR(INDEX(Data_Cleaning!$D$2:$D$251,SMALL(IF(Data_Cleaning!$G$2:$G$251=$X5,ROW(Data_Cleaning!$G$2:$G$251)-ROW(Data_Cleaning!$G$2)+1),106)),"")</f>
        <v>William White</v>
      </c>
      <c r="Z113" s="7" t="str">
        <f t="array" ref="Z113">IFERROR(INDEX(Data_Cleaning!$F$2:$F$251,SMALL(IF(Data_Cleaning!$G$2:$G$251=$X5,ROW(Data_Cleaning!$G$2:$G$251)-ROW(Data_Cleaning!$G$2)+1),106)),"")</f>
        <v>Laptop</v>
      </c>
      <c r="AA113" s="9">
        <f t="array" ref="AA113">IFERROR(INDEX(Data_Cleaning!$N$2:$N$251,SMALL(IF(Data_Cleaning!$G$2:$G$251=$X5,ROW(Data_Cleaning!$G$2:$G$251)-ROW(Data_Cleaning!$G$2)+1),106)),"")</f>
        <v>3599.96</v>
      </c>
    </row>
    <row r="114" spans="23:27" ht="15" customHeight="1" x14ac:dyDescent="0.35">
      <c r="W114" s="7" t="str">
        <f t="array" ref="W114">IFERROR(INDEX(Data_Cleaning!$A$2:$A$251,SMALL(IF(Data_Cleaning!$G$2:$G$251=$X5,ROW(Data_Cleaning!$G$2:$G$251)-ROW(Data_Cleaning!$G$2)+1),107)),"")</f>
        <v>TRX0188</v>
      </c>
      <c r="X114" s="8">
        <f t="array" ref="X114">IFERROR(INDEX(Data_Cleaning!$B$2:$B$251,SMALL(IF(Data_Cleaning!$G$2:$G$251=$X5,ROW(Data_Cleaning!$G$2:$G$251)-ROW(Data_Cleaning!$G$2)+1),107)),"")</f>
        <v>45686</v>
      </c>
      <c r="Y114" s="7" t="str">
        <f t="array" ref="Y114">IFERROR(INDEX(Data_Cleaning!$D$2:$D$251,SMALL(IF(Data_Cleaning!$G$2:$G$251=$X5,ROW(Data_Cleaning!$G$2:$G$251)-ROW(Data_Cleaning!$G$2)+1),107)),"")</f>
        <v>Douglas Watson</v>
      </c>
      <c r="Z114" s="7" t="str">
        <f t="array" ref="Z114">IFERROR(INDEX(Data_Cleaning!$F$2:$F$251,SMALL(IF(Data_Cleaning!$G$2:$G$251=$X5,ROW(Data_Cleaning!$G$2:$G$251)-ROW(Data_Cleaning!$G$2)+1),107)),"")</f>
        <v>Smartphone</v>
      </c>
      <c r="AA114" s="9">
        <f t="array" ref="AA114">IFERROR(INDEX(Data_Cleaning!$N$2:$N$251,SMALL(IF(Data_Cleaning!$G$2:$G$251=$X5,ROW(Data_Cleaning!$G$2:$G$251)-ROW(Data_Cleaning!$G$2)+1),107)),"")</f>
        <v>1399.98</v>
      </c>
    </row>
    <row r="115" spans="23:27" ht="15" customHeight="1" x14ac:dyDescent="0.35">
      <c r="W115" s="7" t="str">
        <f t="array" ref="W115">IFERROR(INDEX(Data_Cleaning!$A$2:$A$251,SMALL(IF(Data_Cleaning!$G$2:$G$251=$X5,ROW(Data_Cleaning!$G$2:$G$251)-ROW(Data_Cleaning!$G$2)+1),108)),"")</f>
        <v>TRX0010</v>
      </c>
      <c r="X115" s="8">
        <f t="array" ref="X115">IFERROR(INDEX(Data_Cleaning!$B$2:$B$251,SMALL(IF(Data_Cleaning!$G$2:$G$251=$X5,ROW(Data_Cleaning!$G$2:$G$251)-ROW(Data_Cleaning!$G$2)+1),108)),"")</f>
        <v>45688</v>
      </c>
      <c r="Y115" s="7" t="str">
        <f t="array" ref="Y115">IFERROR(INDEX(Data_Cleaning!$D$2:$D$251,SMALL(IF(Data_Cleaning!$G$2:$G$251=$X5,ROW(Data_Cleaning!$G$2:$G$251)-ROW(Data_Cleaning!$G$2)+1),108)),"")</f>
        <v>Karen Hill</v>
      </c>
      <c r="Z115" s="7" t="str">
        <f t="array" ref="Z115">IFERROR(INDEX(Data_Cleaning!$F$2:$F$251,SMALL(IF(Data_Cleaning!$G$2:$G$251=$X5,ROW(Data_Cleaning!$G$2:$G$251)-ROW(Data_Cleaning!$G$2)+1),108)),"")</f>
        <v>Smartphone</v>
      </c>
      <c r="AA115" s="9">
        <f t="array" ref="AA115">IFERROR(INDEX(Data_Cleaning!$N$2:$N$251,SMALL(IF(Data_Cleaning!$G$2:$G$251=$X5,ROW(Data_Cleaning!$G$2:$G$251)-ROW(Data_Cleaning!$G$2)+1),108)),"")</f>
        <v>2799.96</v>
      </c>
    </row>
    <row r="116" spans="23:27" ht="15" customHeight="1" x14ac:dyDescent="0.35">
      <c r="W116" s="7" t="str">
        <f t="array" ref="W116">IFERROR(INDEX(Data_Cleaning!$A$2:$A$251,SMALL(IF(Data_Cleaning!$G$2:$G$251=$X5,ROW(Data_Cleaning!$G$2:$G$251)-ROW(Data_Cleaning!$G$2)+1),109)),"")</f>
        <v>TRX0069</v>
      </c>
      <c r="X116" s="8">
        <f t="array" ref="X116">IFERROR(INDEX(Data_Cleaning!$B$2:$B$251,SMALL(IF(Data_Cleaning!$G$2:$G$251=$X5,ROW(Data_Cleaning!$G$2:$G$251)-ROW(Data_Cleaning!$G$2)+1),109)),"")</f>
        <v>45688</v>
      </c>
      <c r="Y116" s="7" t="str">
        <f t="array" ref="Y116">IFERROR(INDEX(Data_Cleaning!$D$2:$D$251,SMALL(IF(Data_Cleaning!$G$2:$G$251=$X5,ROW(Data_Cleaning!$G$2:$G$251)-ROW(Data_Cleaning!$G$2)+1),109)),"")</f>
        <v>Edward Mitchell</v>
      </c>
      <c r="Z116" s="7" t="str">
        <f t="array" ref="Z116">IFERROR(INDEX(Data_Cleaning!$F$2:$F$251,SMALL(IF(Data_Cleaning!$G$2:$G$251=$X5,ROW(Data_Cleaning!$G$2:$G$251)-ROW(Data_Cleaning!$G$2)+1),109)),"")</f>
        <v>Keyboard</v>
      </c>
      <c r="AA116" s="9">
        <f t="array" ref="AA116">IFERROR(INDEX(Data_Cleaning!$N$2:$N$251,SMALL(IF(Data_Cleaning!$G$2:$G$251=$X5,ROW(Data_Cleaning!$G$2:$G$251)-ROW(Data_Cleaning!$G$2)+1),109)),"")</f>
        <v>179.98</v>
      </c>
    </row>
    <row r="117" spans="23:27" ht="15" customHeight="1" x14ac:dyDescent="0.35">
      <c r="W117" s="7" t="str">
        <f t="array" ref="W117">IFERROR(INDEX(Data_Cleaning!$A$2:$A$251,SMALL(IF(Data_Cleaning!$G$2:$G$251=$X5,ROW(Data_Cleaning!$G$2:$G$251)-ROW(Data_Cleaning!$G$2)+1),110)),"")</f>
        <v>TRX0166</v>
      </c>
      <c r="X117" s="8">
        <f t="array" ref="X117">IFERROR(INDEX(Data_Cleaning!$B$2:$B$251,SMALL(IF(Data_Cleaning!$G$2:$G$251=$X5,ROW(Data_Cleaning!$G$2:$G$251)-ROW(Data_Cleaning!$G$2)+1),110)),"")</f>
        <v>45688</v>
      </c>
      <c r="Y117" s="7" t="str">
        <f t="array" ref="Y117">IFERROR(INDEX(Data_Cleaning!$D$2:$D$251,SMALL(IF(Data_Cleaning!$G$2:$G$251=$X5,ROW(Data_Cleaning!$G$2:$G$251)-ROW(Data_Cleaning!$G$2)+1),110)),"")</f>
        <v>Michael Brown</v>
      </c>
      <c r="Z117" s="7" t="str">
        <f t="array" ref="Z117">IFERROR(INDEX(Data_Cleaning!$F$2:$F$251,SMALL(IF(Data_Cleaning!$G$2:$G$251=$X5,ROW(Data_Cleaning!$G$2:$G$251)-ROW(Data_Cleaning!$G$2)+1),110)),"")</f>
        <v>Keyboard</v>
      </c>
      <c r="AA117" s="9">
        <f t="array" ref="AA117">IFERROR(INDEX(Data_Cleaning!$N$2:$N$251,SMALL(IF(Data_Cleaning!$G$2:$G$251=$X5,ROW(Data_Cleaning!$G$2:$G$251)-ROW(Data_Cleaning!$G$2)+1),110)),"")</f>
        <v>269.97000000000003</v>
      </c>
    </row>
    <row r="118" spans="23:27" ht="15" customHeight="1" x14ac:dyDescent="0.35">
      <c r="W118" s="7" t="str">
        <f t="array" ref="W118">IFERROR(INDEX(Data_Cleaning!$A$2:$A$251,SMALL(IF(Data_Cleaning!$G$2:$G$251=$X5,ROW(Data_Cleaning!$G$2:$G$251)-ROW(Data_Cleaning!$G$2)+1),111)),"")</f>
        <v>TRX0196</v>
      </c>
      <c r="X118" s="8">
        <f t="array" ref="X118">IFERROR(INDEX(Data_Cleaning!$B$2:$B$251,SMALL(IF(Data_Cleaning!$G$2:$G$251=$X5,ROW(Data_Cleaning!$G$2:$G$251)-ROW(Data_Cleaning!$G$2)+1),111)),"")</f>
        <v>45704</v>
      </c>
      <c r="Y118" s="7" t="str">
        <f t="array" ref="Y118">IFERROR(INDEX(Data_Cleaning!$D$2:$D$251,SMALL(IF(Data_Cleaning!$G$2:$G$251=$X5,ROW(Data_Cleaning!$G$2:$G$251)-ROW(Data_Cleaning!$G$2)+1),111)),"")</f>
        <v>Paul Baker</v>
      </c>
      <c r="Z118" s="7" t="str">
        <f t="array" ref="Z118">IFERROR(INDEX(Data_Cleaning!$F$2:$F$251,SMALL(IF(Data_Cleaning!$G$2:$G$251=$X5,ROW(Data_Cleaning!$G$2:$G$251)-ROW(Data_Cleaning!$G$2)+1),111)),"")</f>
        <v>Keyboard</v>
      </c>
      <c r="AA118" s="9">
        <f t="array" ref="AA118">IFERROR(INDEX(Data_Cleaning!$N$2:$N$251,SMALL(IF(Data_Cleaning!$G$2:$G$251=$X5,ROW(Data_Cleaning!$G$2:$G$251)-ROW(Data_Cleaning!$G$2)+1),111)),"")</f>
        <v>179.98</v>
      </c>
    </row>
    <row r="119" spans="23:27" ht="15" customHeight="1" x14ac:dyDescent="0.35">
      <c r="W119" s="7" t="str">
        <f t="array" ref="W119">IFERROR(INDEX(Data_Cleaning!$A$2:$A$251,SMALL(IF(Data_Cleaning!$G$2:$G$251=$X5,ROW(Data_Cleaning!$G$2:$G$251)-ROW(Data_Cleaning!$G$2)+1),112)),"")</f>
        <v>TRX0179</v>
      </c>
      <c r="X119" s="8">
        <f t="array" ref="X119">IFERROR(INDEX(Data_Cleaning!$B$2:$B$251,SMALL(IF(Data_Cleaning!$G$2:$G$251=$X5,ROW(Data_Cleaning!$G$2:$G$251)-ROW(Data_Cleaning!$G$2)+1),112)),"")</f>
        <v>45707</v>
      </c>
      <c r="Y119" s="7" t="str">
        <f t="array" ref="Y119">IFERROR(INDEX(Data_Cleaning!$D$2:$D$251,SMALL(IF(Data_Cleaning!$G$2:$G$251=$X5,ROW(Data_Cleaning!$G$2:$G$251)-ROW(Data_Cleaning!$G$2)+1),112)),"")</f>
        <v>Edward Mitchell</v>
      </c>
      <c r="Z119" s="7" t="str">
        <f t="array" ref="Z119">IFERROR(INDEX(Data_Cleaning!$F$2:$F$251,SMALL(IF(Data_Cleaning!$G$2:$G$251=$X5,ROW(Data_Cleaning!$G$2:$G$251)-ROW(Data_Cleaning!$G$2)+1),112)),"")</f>
        <v>Smartphone</v>
      </c>
      <c r="AA119" s="9">
        <f t="array" ref="AA119">IFERROR(INDEX(Data_Cleaning!$N$2:$N$251,SMALL(IF(Data_Cleaning!$G$2:$G$251=$X5,ROW(Data_Cleaning!$G$2:$G$251)-ROW(Data_Cleaning!$G$2)+1),112)),"")</f>
        <v>3499.95</v>
      </c>
    </row>
    <row r="120" spans="23:27" ht="15" customHeight="1" x14ac:dyDescent="0.35">
      <c r="W120" s="7" t="str">
        <f t="array" ref="W120">IFERROR(INDEX(Data_Cleaning!$A$2:$A$251,SMALL(IF(Data_Cleaning!$G$2:$G$251=$X5,ROW(Data_Cleaning!$G$2:$G$251)-ROW(Data_Cleaning!$G$2)+1),113)),"")</f>
        <v>TRX0214</v>
      </c>
      <c r="X120" s="8">
        <f t="array" ref="X120">IFERROR(INDEX(Data_Cleaning!$B$2:$B$251,SMALL(IF(Data_Cleaning!$G$2:$G$251=$X5,ROW(Data_Cleaning!$G$2:$G$251)-ROW(Data_Cleaning!$G$2)+1),113)),"")</f>
        <v>45708</v>
      </c>
      <c r="Y120" s="7" t="str">
        <f t="array" ref="Y120">IFERROR(INDEX(Data_Cleaning!$D$2:$D$251,SMALL(IF(Data_Cleaning!$G$2:$G$251=$X5,ROW(Data_Cleaning!$G$2:$G$251)-ROW(Data_Cleaning!$G$2)+1),113)),"")</f>
        <v>Barbara Young</v>
      </c>
      <c r="Z120" s="7" t="str">
        <f t="array" ref="Z120">IFERROR(INDEX(Data_Cleaning!$F$2:$F$251,SMALL(IF(Data_Cleaning!$G$2:$G$251=$X5,ROW(Data_Cleaning!$G$2:$G$251)-ROW(Data_Cleaning!$G$2)+1),113)),"")</f>
        <v>Laptop</v>
      </c>
      <c r="AA120" s="9">
        <f t="array" ref="AA120">IFERROR(INDEX(Data_Cleaning!$N$2:$N$251,SMALL(IF(Data_Cleaning!$G$2:$G$251=$X5,ROW(Data_Cleaning!$G$2:$G$251)-ROW(Data_Cleaning!$G$2)+1),113)),"")</f>
        <v>2699.97</v>
      </c>
    </row>
    <row r="121" spans="23:27" ht="15" customHeight="1" x14ac:dyDescent="0.35">
      <c r="W121" s="7" t="str">
        <f t="array" ref="W121">IFERROR(INDEX(Data_Cleaning!$A$2:$A$251,SMALL(IF(Data_Cleaning!$G$2:$G$251=$X5,ROW(Data_Cleaning!$G$2:$G$251)-ROW(Data_Cleaning!$G$2)+1),114)),"")</f>
        <v>TRX0151</v>
      </c>
      <c r="X121" s="8">
        <f t="array" ref="X121">IFERROR(INDEX(Data_Cleaning!$B$2:$B$251,SMALL(IF(Data_Cleaning!$G$2:$G$251=$X5,ROW(Data_Cleaning!$G$2:$G$251)-ROW(Data_Cleaning!$G$2)+1),114)),"")</f>
        <v>45710</v>
      </c>
      <c r="Y121" s="7" t="str">
        <f t="array" ref="Y121">IFERROR(INDEX(Data_Cleaning!$D$2:$D$251,SMALL(IF(Data_Cleaning!$G$2:$G$251=$X5,ROW(Data_Cleaning!$G$2:$G$251)-ROW(Data_Cleaning!$G$2)+1),114)),"")</f>
        <v>Sharon Butler</v>
      </c>
      <c r="Z121" s="7" t="str">
        <f t="array" ref="Z121">IFERROR(INDEX(Data_Cleaning!$F$2:$F$251,SMALL(IF(Data_Cleaning!$G$2:$G$251=$X5,ROW(Data_Cleaning!$G$2:$G$251)-ROW(Data_Cleaning!$G$2)+1),114)),"")</f>
        <v>Smartphone</v>
      </c>
      <c r="AA121" s="9">
        <f t="array" ref="AA121">IFERROR(INDEX(Data_Cleaning!$N$2:$N$251,SMALL(IF(Data_Cleaning!$G$2:$G$251=$X5,ROW(Data_Cleaning!$G$2:$G$251)-ROW(Data_Cleaning!$G$2)+1),114)),"")</f>
        <v>699.99</v>
      </c>
    </row>
    <row r="122" spans="23:27" ht="15" customHeight="1" x14ac:dyDescent="0.35">
      <c r="W122" s="7" t="str">
        <f t="array" ref="W122">IFERROR(INDEX(Data_Cleaning!$A$2:$A$251,SMALL(IF(Data_Cleaning!$G$2:$G$251=$X5,ROW(Data_Cleaning!$G$2:$G$251)-ROW(Data_Cleaning!$G$2)+1),115)),"")</f>
        <v>TRX0047</v>
      </c>
      <c r="X122" s="8">
        <f t="array" ref="X122">IFERROR(INDEX(Data_Cleaning!$B$2:$B$251,SMALL(IF(Data_Cleaning!$G$2:$G$251=$X5,ROW(Data_Cleaning!$G$2:$G$251)-ROW(Data_Cleaning!$G$2)+1),115)),"")</f>
        <v>45711</v>
      </c>
      <c r="Y122" s="7" t="str">
        <f t="array" ref="Y122">IFERROR(INDEX(Data_Cleaning!$D$2:$D$251,SMALL(IF(Data_Cleaning!$G$2:$G$251=$X5,ROW(Data_Cleaning!$G$2:$G$251)-ROW(Data_Cleaning!$G$2)+1),115)),"")</f>
        <v>Ruth Brooks</v>
      </c>
      <c r="Z122" s="7" t="str">
        <f t="array" ref="Z122">IFERROR(INDEX(Data_Cleaning!$F$2:$F$251,SMALL(IF(Data_Cleaning!$G$2:$G$251=$X5,ROW(Data_Cleaning!$G$2:$G$251)-ROW(Data_Cleaning!$G$2)+1),115)),"")</f>
        <v>Smartphone</v>
      </c>
      <c r="AA122" s="9">
        <f t="array" ref="AA122">IFERROR(INDEX(Data_Cleaning!$N$2:$N$251,SMALL(IF(Data_Cleaning!$G$2:$G$251=$X5,ROW(Data_Cleaning!$G$2:$G$251)-ROW(Data_Cleaning!$G$2)+1),115)),"")</f>
        <v>699.99</v>
      </c>
    </row>
    <row r="123" spans="23:27" ht="15" customHeight="1" x14ac:dyDescent="0.35">
      <c r="W123" s="7" t="str">
        <f t="array" ref="W123">IFERROR(INDEX(Data_Cleaning!$A$2:$A$251,SMALL(IF(Data_Cleaning!$G$2:$G$251=$X5,ROW(Data_Cleaning!$G$2:$G$251)-ROW(Data_Cleaning!$G$2)+1),116)),"")</f>
        <v>TRX0062</v>
      </c>
      <c r="X123" s="8">
        <f t="array" ref="X123">IFERROR(INDEX(Data_Cleaning!$B$2:$B$251,SMALL(IF(Data_Cleaning!$G$2:$G$251=$X5,ROW(Data_Cleaning!$G$2:$G$251)-ROW(Data_Cleaning!$G$2)+1),116)),"")</f>
        <v>45711</v>
      </c>
      <c r="Y123" s="7" t="str">
        <f t="array" ref="Y123">IFERROR(INDEX(Data_Cleaning!$D$2:$D$251,SMALL(IF(Data_Cleaning!$G$2:$G$251=$X5,ROW(Data_Cleaning!$G$2:$G$251)-ROW(Data_Cleaning!$G$2)+1),116)),"")</f>
        <v>Elizabeth Hall</v>
      </c>
      <c r="Z123" s="7" t="str">
        <f t="array" ref="Z123">IFERROR(INDEX(Data_Cleaning!$F$2:$F$251,SMALL(IF(Data_Cleaning!$G$2:$G$251=$X5,ROW(Data_Cleaning!$G$2:$G$251)-ROW(Data_Cleaning!$G$2)+1),116)),"")</f>
        <v>Keyboard</v>
      </c>
      <c r="AA123" s="9">
        <f t="array" ref="AA123">IFERROR(INDEX(Data_Cleaning!$N$2:$N$251,SMALL(IF(Data_Cleaning!$G$2:$G$251=$X5,ROW(Data_Cleaning!$G$2:$G$251)-ROW(Data_Cleaning!$G$2)+1),116)),"")</f>
        <v>449.95</v>
      </c>
    </row>
    <row r="124" spans="23:27" ht="15" customHeight="1" x14ac:dyDescent="0.35">
      <c r="W124" s="7" t="str">
        <f t="array" ref="W124">IFERROR(INDEX(Data_Cleaning!$A$2:$A$251,SMALL(IF(Data_Cleaning!$G$2:$G$251=$X5,ROW(Data_Cleaning!$G$2:$G$251)-ROW(Data_Cleaning!$G$2)+1),117)),"")</f>
        <v>TRX0226</v>
      </c>
      <c r="X124" s="8">
        <f t="array" ref="X124">IFERROR(INDEX(Data_Cleaning!$B$2:$B$251,SMALL(IF(Data_Cleaning!$G$2:$G$251=$X5,ROW(Data_Cleaning!$G$2:$G$251)-ROW(Data_Cleaning!$G$2)+1),117)),"")</f>
        <v>45720</v>
      </c>
      <c r="Y124" s="7" t="str">
        <f t="array" ref="Y124">IFERROR(INDEX(Data_Cleaning!$D$2:$D$251,SMALL(IF(Data_Cleaning!$G$2:$G$251=$X5,ROW(Data_Cleaning!$G$2:$G$251)-ROW(Data_Cleaning!$G$2)+1),117)),"")</f>
        <v>Lawrence Reed</v>
      </c>
      <c r="Z124" s="7" t="str">
        <f t="array" ref="Z124">IFERROR(INDEX(Data_Cleaning!$F$2:$F$251,SMALL(IF(Data_Cleaning!$G$2:$G$251=$X5,ROW(Data_Cleaning!$G$2:$G$251)-ROW(Data_Cleaning!$G$2)+1),117)),"")</f>
        <v>Smartphone</v>
      </c>
      <c r="AA124" s="9">
        <f t="array" ref="AA124">IFERROR(INDEX(Data_Cleaning!$N$2:$N$251,SMALL(IF(Data_Cleaning!$G$2:$G$251=$X5,ROW(Data_Cleaning!$G$2:$G$251)-ROW(Data_Cleaning!$G$2)+1),117)),"")</f>
        <v>3499.95</v>
      </c>
    </row>
    <row r="125" spans="23:27" ht="15" customHeight="1" x14ac:dyDescent="0.35">
      <c r="W125" s="7" t="str">
        <f t="array" ref="W125">IFERROR(INDEX(Data_Cleaning!$A$2:$A$251,SMALL(IF(Data_Cleaning!$G$2:$G$251=$X5,ROW(Data_Cleaning!$G$2:$G$251)-ROW(Data_Cleaning!$G$2)+1),118)),"")</f>
        <v>TRX0233</v>
      </c>
      <c r="X125" s="8">
        <f t="array" ref="X125">IFERROR(INDEX(Data_Cleaning!$B$2:$B$251,SMALL(IF(Data_Cleaning!$G$2:$G$251=$X5,ROW(Data_Cleaning!$G$2:$G$251)-ROW(Data_Cleaning!$G$2)+1),118)),"")</f>
        <v>45723</v>
      </c>
      <c r="Y125" s="7" t="str">
        <f t="array" ref="Y125">IFERROR(INDEX(Data_Cleaning!$D$2:$D$251,SMALL(IF(Data_Cleaning!$G$2:$G$251=$X5,ROW(Data_Cleaning!$G$2:$G$251)-ROW(Data_Cleaning!$G$2)+1),118)),"")</f>
        <v>Paul Baker</v>
      </c>
      <c r="Z125" s="7" t="str">
        <f t="array" ref="Z125">IFERROR(INDEX(Data_Cleaning!$F$2:$F$251,SMALL(IF(Data_Cleaning!$G$2:$G$251=$X5,ROW(Data_Cleaning!$G$2:$G$251)-ROW(Data_Cleaning!$G$2)+1),118)),"")</f>
        <v>Keyboard</v>
      </c>
      <c r="AA125" s="9">
        <f t="array" ref="AA125">IFERROR(INDEX(Data_Cleaning!$N$2:$N$251,SMALL(IF(Data_Cleaning!$G$2:$G$251=$X5,ROW(Data_Cleaning!$G$2:$G$251)-ROW(Data_Cleaning!$G$2)+1),118)),"")</f>
        <v>179.98</v>
      </c>
    </row>
    <row r="126" spans="23:27" ht="15" customHeight="1" x14ac:dyDescent="0.35">
      <c r="W126" s="7" t="str">
        <f t="array" ref="W126">IFERROR(INDEX(Data_Cleaning!$A$2:$A$251,SMALL(IF(Data_Cleaning!$G$2:$G$251=$X5,ROW(Data_Cleaning!$G$2:$G$251)-ROW(Data_Cleaning!$G$2)+1),119)),"")</f>
        <v>TRX0175</v>
      </c>
      <c r="X126" s="8">
        <f t="array" ref="X126">IFERROR(INDEX(Data_Cleaning!$B$2:$B$251,SMALL(IF(Data_Cleaning!$G$2:$G$251=$X5,ROW(Data_Cleaning!$G$2:$G$251)-ROW(Data_Cleaning!$G$2)+1),119)),"")</f>
        <v>45723</v>
      </c>
      <c r="Y126" s="7" t="str">
        <f t="array" ref="Y126">IFERROR(INDEX(Data_Cleaning!$D$2:$D$251,SMALL(IF(Data_Cleaning!$G$2:$G$251=$X5,ROW(Data_Cleaning!$G$2:$G$251)-ROW(Data_Cleaning!$G$2)+1),119)),"")</f>
        <v>Helen Roberts</v>
      </c>
      <c r="Z126" s="7" t="str">
        <f t="array" ref="Z126">IFERROR(INDEX(Data_Cleaning!$F$2:$F$251,SMALL(IF(Data_Cleaning!$G$2:$G$251=$X5,ROW(Data_Cleaning!$G$2:$G$251)-ROW(Data_Cleaning!$G$2)+1),119)),"")</f>
        <v>Monitor</v>
      </c>
      <c r="AA126" s="9">
        <f t="array" ref="AA126">IFERROR(INDEX(Data_Cleaning!$N$2:$N$251,SMALL(IF(Data_Cleaning!$G$2:$G$251=$X5,ROW(Data_Cleaning!$G$2:$G$251)-ROW(Data_Cleaning!$G$2)+1),119)),"")</f>
        <v>1249.95</v>
      </c>
    </row>
    <row r="127" spans="23:27" ht="15" customHeight="1" x14ac:dyDescent="0.35">
      <c r="W127" s="7" t="str">
        <f t="array" ref="W127">IFERROR(INDEX(Data_Cleaning!$A$2:$A$251,SMALL(IF(Data_Cleaning!$G$2:$G$251=$X5,ROW(Data_Cleaning!$G$2:$G$251)-ROW(Data_Cleaning!$G$2)+1),120)),"")</f>
        <v>TRX0016</v>
      </c>
      <c r="X127" s="8">
        <f t="array" ref="X127">IFERROR(INDEX(Data_Cleaning!$B$2:$B$251,SMALL(IF(Data_Cleaning!$G$2:$G$251=$X5,ROW(Data_Cleaning!$G$2:$G$251)-ROW(Data_Cleaning!$G$2)+1),120)),"")</f>
        <v>45724</v>
      </c>
      <c r="Y127" s="7" t="str">
        <f t="array" ref="Y127">IFERROR(INDEX(Data_Cleaning!$D$2:$D$251,SMALL(IF(Data_Cleaning!$G$2:$G$251=$X5,ROW(Data_Cleaning!$G$2:$G$251)-ROW(Data_Cleaning!$G$2)+1),120)),"")</f>
        <v>Harry Morgan</v>
      </c>
      <c r="Z127" s="7" t="str">
        <f t="array" ref="Z127">IFERROR(INDEX(Data_Cleaning!$F$2:$F$251,SMALL(IF(Data_Cleaning!$G$2:$G$251=$X5,ROW(Data_Cleaning!$G$2:$G$251)-ROW(Data_Cleaning!$G$2)+1),120)),"")</f>
        <v>Laptop</v>
      </c>
      <c r="AA127" s="9">
        <f t="array" ref="AA127">IFERROR(INDEX(Data_Cleaning!$N$2:$N$251,SMALL(IF(Data_Cleaning!$G$2:$G$251=$X5,ROW(Data_Cleaning!$G$2:$G$251)-ROW(Data_Cleaning!$G$2)+1),120)),"")</f>
        <v>4499.95</v>
      </c>
    </row>
    <row r="128" spans="23:27" ht="15" customHeight="1" x14ac:dyDescent="0.35">
      <c r="W128" s="7" t="str">
        <f t="array" ref="W128">IFERROR(INDEX(Data_Cleaning!$A$2:$A$251,SMALL(IF(Data_Cleaning!$G$2:$G$251=$X5,ROW(Data_Cleaning!$G$2:$G$251)-ROW(Data_Cleaning!$G$2)+1),121)),"")</f>
        <v>TRX0038</v>
      </c>
      <c r="X128" s="8">
        <f t="array" ref="X128">IFERROR(INDEX(Data_Cleaning!$B$2:$B$251,SMALL(IF(Data_Cleaning!$G$2:$G$251=$X5,ROW(Data_Cleaning!$G$2:$G$251)-ROW(Data_Cleaning!$G$2)+1),121)),"")</f>
        <v>45726</v>
      </c>
      <c r="Y128" s="7" t="str">
        <f t="array" ref="Y128">IFERROR(INDEX(Data_Cleaning!$D$2:$D$251,SMALL(IF(Data_Cleaning!$G$2:$G$251=$X5,ROW(Data_Cleaning!$G$2:$G$251)-ROW(Data_Cleaning!$G$2)+1),121)),"")</f>
        <v>Harry Morgan</v>
      </c>
      <c r="Z128" s="7" t="str">
        <f t="array" ref="Z128">IFERROR(INDEX(Data_Cleaning!$F$2:$F$251,SMALL(IF(Data_Cleaning!$G$2:$G$251=$X5,ROW(Data_Cleaning!$G$2:$G$251)-ROW(Data_Cleaning!$G$2)+1),121)),"")</f>
        <v>Monitor</v>
      </c>
      <c r="AA128" s="9">
        <f t="array" ref="AA128">IFERROR(INDEX(Data_Cleaning!$N$2:$N$251,SMALL(IF(Data_Cleaning!$G$2:$G$251=$X5,ROW(Data_Cleaning!$G$2:$G$251)-ROW(Data_Cleaning!$G$2)+1),121)),"")</f>
        <v>249.99</v>
      </c>
    </row>
    <row r="129" spans="23:27" ht="15" customHeight="1" x14ac:dyDescent="0.35">
      <c r="W129" s="7" t="str">
        <f t="array" ref="W129">IFERROR(INDEX(Data_Cleaning!$A$2:$A$251,SMALL(IF(Data_Cleaning!$G$2:$G$251=$X5,ROW(Data_Cleaning!$G$2:$G$251)-ROW(Data_Cleaning!$G$2)+1),122)),"")</f>
        <v>TRX0124</v>
      </c>
      <c r="X129" s="8">
        <f t="array" ref="X129">IFERROR(INDEX(Data_Cleaning!$B$2:$B$251,SMALL(IF(Data_Cleaning!$G$2:$G$251=$X5,ROW(Data_Cleaning!$G$2:$G$251)-ROW(Data_Cleaning!$G$2)+1),122)),"")</f>
        <v>45737</v>
      </c>
      <c r="Y129" s="7" t="str">
        <f t="array" ref="Y129">IFERROR(INDEX(Data_Cleaning!$D$2:$D$251,SMALL(IF(Data_Cleaning!$G$2:$G$251=$X5,ROW(Data_Cleaning!$G$2:$G$251)-ROW(Data_Cleaning!$G$2)+1),122)),"")</f>
        <v>Sharon Butler</v>
      </c>
      <c r="Z129" s="7" t="str">
        <f t="array" ref="Z129">IFERROR(INDEX(Data_Cleaning!$F$2:$F$251,SMALL(IF(Data_Cleaning!$G$2:$G$251=$X5,ROW(Data_Cleaning!$G$2:$G$251)-ROW(Data_Cleaning!$G$2)+1),122)),"")</f>
        <v>Laptop</v>
      </c>
      <c r="AA129" s="9">
        <f t="array" ref="AA129">IFERROR(INDEX(Data_Cleaning!$N$2:$N$251,SMALL(IF(Data_Cleaning!$G$2:$G$251=$X5,ROW(Data_Cleaning!$G$2:$G$251)-ROW(Data_Cleaning!$G$2)+1),122)),"")</f>
        <v>2699.97</v>
      </c>
    </row>
    <row r="130" spans="23:27" ht="15" customHeight="1" x14ac:dyDescent="0.35">
      <c r="W130" s="7" t="str">
        <f t="array" ref="W130">IFERROR(INDEX(Data_Cleaning!$A$2:$A$251,SMALL(IF(Data_Cleaning!$G$2:$G$251=$X5,ROW(Data_Cleaning!$G$2:$G$251)-ROW(Data_Cleaning!$G$2)+1),123)),"")</f>
        <v>TRX0013</v>
      </c>
      <c r="X130" s="8">
        <f t="array" ref="X130">IFERROR(INDEX(Data_Cleaning!$B$2:$B$251,SMALL(IF(Data_Cleaning!$G$2:$G$251=$X5,ROW(Data_Cleaning!$G$2:$G$251)-ROW(Data_Cleaning!$G$2)+1),123)),"")</f>
        <v>45737</v>
      </c>
      <c r="Y130" s="7" t="str">
        <f t="array" ref="Y130">IFERROR(INDEX(Data_Cleaning!$D$2:$D$251,SMALL(IF(Data_Cleaning!$G$2:$G$251=$X5,ROW(Data_Cleaning!$G$2:$G$251)-ROW(Data_Cleaning!$G$2)+1),123)),"")</f>
        <v>Dorothy Nelson</v>
      </c>
      <c r="Z130" s="7" t="str">
        <f t="array" ref="Z130">IFERROR(INDEX(Data_Cleaning!$F$2:$F$251,SMALL(IF(Data_Cleaning!$G$2:$G$251=$X5,ROW(Data_Cleaning!$G$2:$G$251)-ROW(Data_Cleaning!$G$2)+1),123)),"")</f>
        <v>Laptop</v>
      </c>
      <c r="AA130" s="9">
        <f t="array" ref="AA130">IFERROR(INDEX(Data_Cleaning!$N$2:$N$251,SMALL(IF(Data_Cleaning!$G$2:$G$251=$X5,ROW(Data_Cleaning!$G$2:$G$251)-ROW(Data_Cleaning!$G$2)+1),123)),"")</f>
        <v>2699.97</v>
      </c>
    </row>
    <row r="131" spans="23:27" ht="15" customHeight="1" x14ac:dyDescent="0.35">
      <c r="W131" s="7" t="str">
        <f t="array" ref="W131">IFERROR(INDEX(Data_Cleaning!$A$2:$A$251,SMALL(IF(Data_Cleaning!$G$2:$G$251=$X5,ROW(Data_Cleaning!$G$2:$G$251)-ROW(Data_Cleaning!$G$2)+1),124)),"")</f>
        <v>TRX0213</v>
      </c>
      <c r="X131" s="8">
        <f t="array" ref="X131">IFERROR(INDEX(Data_Cleaning!$B$2:$B$251,SMALL(IF(Data_Cleaning!$G$2:$G$251=$X5,ROW(Data_Cleaning!$G$2:$G$251)-ROW(Data_Cleaning!$G$2)+1),124)),"")</f>
        <v>45745</v>
      </c>
      <c r="Y131" s="7" t="str">
        <f t="array" ref="Y131">IFERROR(INDEX(Data_Cleaning!$D$2:$D$251,SMALL(IF(Data_Cleaning!$G$2:$G$251=$X5,ROW(Data_Cleaning!$G$2:$G$251)-ROW(Data_Cleaning!$G$2)+1),124)),"")</f>
        <v>Margaret Wright</v>
      </c>
      <c r="Z131" s="7" t="str">
        <f t="array" ref="Z131">IFERROR(INDEX(Data_Cleaning!$F$2:$F$251,SMALL(IF(Data_Cleaning!$G$2:$G$251=$X5,ROW(Data_Cleaning!$G$2:$G$251)-ROW(Data_Cleaning!$G$2)+1),124)),"")</f>
        <v>Keyboard</v>
      </c>
      <c r="AA131" s="9">
        <f t="array" ref="AA131">IFERROR(INDEX(Data_Cleaning!$N$2:$N$251,SMALL(IF(Data_Cleaning!$G$2:$G$251=$X5,ROW(Data_Cleaning!$G$2:$G$251)-ROW(Data_Cleaning!$G$2)+1),124)),"")</f>
        <v>449.95</v>
      </c>
    </row>
    <row r="132" spans="23:27" ht="15" customHeight="1" x14ac:dyDescent="0.35">
      <c r="W132" s="7" t="str">
        <f t="array" ref="W132">IFERROR(INDEX(Data_Cleaning!$A$2:$A$251,SMALL(IF(Data_Cleaning!$G$2:$G$251=$X5,ROW(Data_Cleaning!$G$2:$G$251)-ROW(Data_Cleaning!$G$2)+1),125)),"")</f>
        <v>TRX0250</v>
      </c>
      <c r="X132" s="8">
        <f t="array" ref="X132">IFERROR(INDEX(Data_Cleaning!$B$2:$B$251,SMALL(IF(Data_Cleaning!$G$2:$G$251=$X5,ROW(Data_Cleaning!$G$2:$G$251)-ROW(Data_Cleaning!$G$2)+1),125)),"")</f>
        <v>45746</v>
      </c>
      <c r="Y132" s="7" t="str">
        <f t="array" ref="Y132">IFERROR(INDEX(Data_Cleaning!$D$2:$D$251,SMALL(IF(Data_Cleaning!$G$2:$G$251=$X5,ROW(Data_Cleaning!$G$2:$G$251)-ROW(Data_Cleaning!$G$2)+1),125)),"")</f>
        <v>Karen Hill</v>
      </c>
      <c r="Z132" s="7" t="str">
        <f t="array" ref="Z132">IFERROR(INDEX(Data_Cleaning!$F$2:$F$251,SMALL(IF(Data_Cleaning!$G$2:$G$251=$X5,ROW(Data_Cleaning!$G$2:$G$251)-ROW(Data_Cleaning!$G$2)+1),125)),"")</f>
        <v>Keyboard</v>
      </c>
      <c r="AA132" s="9">
        <f t="array" ref="AA132">IFERROR(INDEX(Data_Cleaning!$N$2:$N$251,SMALL(IF(Data_Cleaning!$G$2:$G$251=$X5,ROW(Data_Cleaning!$G$2:$G$251)-ROW(Data_Cleaning!$G$2)+1),125)),"")</f>
        <v>179.98</v>
      </c>
    </row>
    <row r="133" spans="23:27" ht="15" customHeight="1" x14ac:dyDescent="0.35">
      <c r="W133" s="7" t="str">
        <f t="array" ref="W133">IFERROR(INDEX(Data_Cleaning!$A$2:$A$251,SMALL(IF(Data_Cleaning!$G$2:$G$251=$X5,ROW(Data_Cleaning!$G$2:$G$251)-ROW(Data_Cleaning!$G$2)+1),126)),"")</f>
        <v>TRX0068</v>
      </c>
      <c r="X133" s="8">
        <f t="array" ref="X133">IFERROR(INDEX(Data_Cleaning!$B$2:$B$251,SMALL(IF(Data_Cleaning!$G$2:$G$251=$X5,ROW(Data_Cleaning!$G$2:$G$251)-ROW(Data_Cleaning!$G$2)+1),126)),"")</f>
        <v>45748</v>
      </c>
      <c r="Y133" s="7" t="str">
        <f t="array" ref="Y133">IFERROR(INDEX(Data_Cleaning!$D$2:$D$251,SMALL(IF(Data_Cleaning!$G$2:$G$251=$X5,ROW(Data_Cleaning!$G$2:$G$251)-ROW(Data_Cleaning!$G$2)+1),126)),"")</f>
        <v>Cynthia Price</v>
      </c>
      <c r="Z133" s="7" t="str">
        <f t="array" ref="Z133">IFERROR(INDEX(Data_Cleaning!$F$2:$F$251,SMALL(IF(Data_Cleaning!$G$2:$G$251=$X5,ROW(Data_Cleaning!$G$2:$G$251)-ROW(Data_Cleaning!$G$2)+1),126)),"")</f>
        <v>Smartphone</v>
      </c>
      <c r="AA133" s="9">
        <f t="array" ref="AA133">IFERROR(INDEX(Data_Cleaning!$N$2:$N$251,SMALL(IF(Data_Cleaning!$G$2:$G$251=$X5,ROW(Data_Cleaning!$G$2:$G$251)-ROW(Data_Cleaning!$G$2)+1),126)),"")</f>
        <v>1399.98</v>
      </c>
    </row>
    <row r="134" spans="23:27" ht="15" customHeight="1" x14ac:dyDescent="0.35">
      <c r="W134" s="7" t="str">
        <f t="array" ref="W134">IFERROR(INDEX(Data_Cleaning!$A$2:$A$251,SMALL(IF(Data_Cleaning!$G$2:$G$251=$X5,ROW(Data_Cleaning!$G$2:$G$251)-ROW(Data_Cleaning!$G$2)+1),127)),"")</f>
        <v>TRX0144</v>
      </c>
      <c r="X134" s="8">
        <f t="array" ref="X134">IFERROR(INDEX(Data_Cleaning!$B$2:$B$251,SMALL(IF(Data_Cleaning!$G$2:$G$251=$X5,ROW(Data_Cleaning!$G$2:$G$251)-ROW(Data_Cleaning!$G$2)+1),127)),"")</f>
        <v>45749</v>
      </c>
      <c r="Y134" s="7" t="str">
        <f t="array" ref="Y134">IFERROR(INDEX(Data_Cleaning!$D$2:$D$251,SMALL(IF(Data_Cleaning!$G$2:$G$251=$X5,ROW(Data_Cleaning!$G$2:$G$251)-ROW(Data_Cleaning!$G$2)+1),127)),"")</f>
        <v>Edward Mitchell</v>
      </c>
      <c r="Z134" s="7" t="str">
        <f t="array" ref="Z134">IFERROR(INDEX(Data_Cleaning!$F$2:$F$251,SMALL(IF(Data_Cleaning!$G$2:$G$251=$X5,ROW(Data_Cleaning!$G$2:$G$251)-ROW(Data_Cleaning!$G$2)+1),127)),"")</f>
        <v>Laptop</v>
      </c>
      <c r="AA134" s="9">
        <f t="array" ref="AA134">IFERROR(INDEX(Data_Cleaning!$N$2:$N$251,SMALL(IF(Data_Cleaning!$G$2:$G$251=$X5,ROW(Data_Cleaning!$G$2:$G$251)-ROW(Data_Cleaning!$G$2)+1),127)),"")</f>
        <v>2699.97</v>
      </c>
    </row>
    <row r="135" spans="23:27" ht="15" customHeight="1" x14ac:dyDescent="0.35">
      <c r="W135" s="7" t="str">
        <f t="array" ref="W135">IFERROR(INDEX(Data_Cleaning!$A$2:$A$251,SMALL(IF(Data_Cleaning!$G$2:$G$251=$X5,ROW(Data_Cleaning!$G$2:$G$251)-ROW(Data_Cleaning!$G$2)+1),128)),"")</f>
        <v>TRX0116</v>
      </c>
      <c r="X135" s="8">
        <f t="array" ref="X135">IFERROR(INDEX(Data_Cleaning!$B$2:$B$251,SMALL(IF(Data_Cleaning!$G$2:$G$251=$X5,ROW(Data_Cleaning!$G$2:$G$251)-ROW(Data_Cleaning!$G$2)+1),128)),"")</f>
        <v>45756</v>
      </c>
      <c r="Y135" s="7" t="str">
        <f t="array" ref="Y135">IFERROR(INDEX(Data_Cleaning!$D$2:$D$251,SMALL(IF(Data_Cleaning!$G$2:$G$251=$X5,ROW(Data_Cleaning!$G$2:$G$251)-ROW(Data_Cleaning!$G$2)+1),128)),"")</f>
        <v>Robert Thomas</v>
      </c>
      <c r="Z135" s="7" t="str">
        <f t="array" ref="Z135">IFERROR(INDEX(Data_Cleaning!$F$2:$F$251,SMALL(IF(Data_Cleaning!$G$2:$G$251=$X5,ROW(Data_Cleaning!$G$2:$G$251)-ROW(Data_Cleaning!$G$2)+1),128)),"")</f>
        <v>Keyboard</v>
      </c>
      <c r="AA135" s="9">
        <f t="array" ref="AA135">IFERROR(INDEX(Data_Cleaning!$N$2:$N$251,SMALL(IF(Data_Cleaning!$G$2:$G$251=$X5,ROW(Data_Cleaning!$G$2:$G$251)-ROW(Data_Cleaning!$G$2)+1),128)),"")</f>
        <v>89.99</v>
      </c>
    </row>
    <row r="136" spans="23:27" ht="15" customHeight="1" x14ac:dyDescent="0.35">
      <c r="W136" s="7" t="str">
        <f t="array" ref="W136">IFERROR(INDEX(Data_Cleaning!$A$2:$A$251,SMALL(IF(Data_Cleaning!$G$2:$G$251=$X5,ROW(Data_Cleaning!$G$2:$G$251)-ROW(Data_Cleaning!$G$2)+1),129)),"")</f>
        <v>TRX0120</v>
      </c>
      <c r="X136" s="8">
        <f t="array" ref="X136">IFERROR(INDEX(Data_Cleaning!$B$2:$B$251,SMALL(IF(Data_Cleaning!$G$2:$G$251=$X5,ROW(Data_Cleaning!$G$2:$G$251)-ROW(Data_Cleaning!$G$2)+1),129)),"")</f>
        <v>45758</v>
      </c>
      <c r="Y136" s="7" t="str">
        <f t="array" ref="Y136">IFERROR(INDEX(Data_Cleaning!$D$2:$D$251,SMALL(IF(Data_Cleaning!$G$2:$G$251=$X5,ROW(Data_Cleaning!$G$2:$G$251)-ROW(Data_Cleaning!$G$2)+1),129)),"")</f>
        <v>Douglas Watson</v>
      </c>
      <c r="Z136" s="7" t="str">
        <f t="array" ref="Z136">IFERROR(INDEX(Data_Cleaning!$F$2:$F$251,SMALL(IF(Data_Cleaning!$G$2:$G$251=$X5,ROW(Data_Cleaning!$G$2:$G$251)-ROW(Data_Cleaning!$G$2)+1),129)),"")</f>
        <v>Smartphone</v>
      </c>
      <c r="AA136" s="9">
        <f t="array" ref="AA136">IFERROR(INDEX(Data_Cleaning!$N$2:$N$251,SMALL(IF(Data_Cleaning!$G$2:$G$251=$X5,ROW(Data_Cleaning!$G$2:$G$251)-ROW(Data_Cleaning!$G$2)+1),129)),"")</f>
        <v>2099.9699999999998</v>
      </c>
    </row>
    <row r="137" spans="23:27" ht="15" customHeight="1" x14ac:dyDescent="0.35">
      <c r="W137" s="7" t="str">
        <f t="array" ref="W137">IFERROR(INDEX(Data_Cleaning!$A$2:$A$251,SMALL(IF(Data_Cleaning!$G$2:$G$251=$X5,ROW(Data_Cleaning!$G$2:$G$251)-ROW(Data_Cleaning!$G$2)+1),130)),"")</f>
        <v>TRX0103</v>
      </c>
      <c r="X137" s="8">
        <f t="array" ref="X137">IFERROR(INDEX(Data_Cleaning!$B$2:$B$251,SMALL(IF(Data_Cleaning!$G$2:$G$251=$X5,ROW(Data_Cleaning!$G$2:$G$251)-ROW(Data_Cleaning!$G$2)+1),130)),"")</f>
        <v>45758</v>
      </c>
      <c r="Y137" s="7" t="str">
        <f t="array" ref="Y137">IFERROR(INDEX(Data_Cleaning!$D$2:$D$251,SMALL(IF(Data_Cleaning!$G$2:$G$251=$X5,ROW(Data_Cleaning!$G$2:$G$251)-ROW(Data_Cleaning!$G$2)+1),130)),"")</f>
        <v>Lawrence Reed</v>
      </c>
      <c r="Z137" s="7" t="str">
        <f t="array" ref="Z137">IFERROR(INDEX(Data_Cleaning!$F$2:$F$251,SMALL(IF(Data_Cleaning!$G$2:$G$251=$X5,ROW(Data_Cleaning!$G$2:$G$251)-ROW(Data_Cleaning!$G$2)+1),130)),"")</f>
        <v>Keyboard</v>
      </c>
      <c r="AA137" s="9">
        <f t="array" ref="AA137">IFERROR(INDEX(Data_Cleaning!$N$2:$N$251,SMALL(IF(Data_Cleaning!$G$2:$G$251=$X5,ROW(Data_Cleaning!$G$2:$G$251)-ROW(Data_Cleaning!$G$2)+1),130)),"")</f>
        <v>179.98</v>
      </c>
    </row>
    <row r="138" spans="23:27" ht="15" customHeight="1" x14ac:dyDescent="0.35">
      <c r="W138" s="7" t="str">
        <f t="array" ref="W138">IFERROR(INDEX(Data_Cleaning!$A$2:$A$251,SMALL(IF(Data_Cleaning!$G$2:$G$251=$X5,ROW(Data_Cleaning!$G$2:$G$251)-ROW(Data_Cleaning!$G$2)+1),131)),"")</f>
        <v>TRX0064</v>
      </c>
      <c r="X138" s="8">
        <f t="array" ref="X138">IFERROR(INDEX(Data_Cleaning!$B$2:$B$251,SMALL(IF(Data_Cleaning!$G$2:$G$251=$X5,ROW(Data_Cleaning!$G$2:$G$251)-ROW(Data_Cleaning!$G$2)+1),131)),"")</f>
        <v>45758</v>
      </c>
      <c r="Y138" s="7" t="str">
        <f t="array" ref="Y138">IFERROR(INDEX(Data_Cleaning!$D$2:$D$251,SMALL(IF(Data_Cleaning!$G$2:$G$251=$X5,ROW(Data_Cleaning!$G$2:$G$251)-ROW(Data_Cleaning!$G$2)+1),131)),"")</f>
        <v>Steven Turner</v>
      </c>
      <c r="Z138" s="7" t="str">
        <f t="array" ref="Z138">IFERROR(INDEX(Data_Cleaning!$F$2:$F$251,SMALL(IF(Data_Cleaning!$G$2:$G$251=$X5,ROW(Data_Cleaning!$G$2:$G$251)-ROW(Data_Cleaning!$G$2)+1),131)),"")</f>
        <v>Keyboard</v>
      </c>
      <c r="AA138" s="9">
        <f t="array" ref="AA138">IFERROR(INDEX(Data_Cleaning!$N$2:$N$251,SMALL(IF(Data_Cleaning!$G$2:$G$251=$X5,ROW(Data_Cleaning!$G$2:$G$251)-ROW(Data_Cleaning!$G$2)+1),131)),"")</f>
        <v>269.97000000000003</v>
      </c>
    </row>
    <row r="139" spans="23:27" ht="15" customHeight="1" x14ac:dyDescent="0.35">
      <c r="W139" s="17" t="s">
        <v>431</v>
      </c>
      <c r="X139" s="7">
        <f>COUNTIF(Data_Cleaning!$G$2:$G$251,X5)</f>
        <v>131</v>
      </c>
    </row>
    <row r="140" spans="23:27" ht="15" customHeight="1" x14ac:dyDescent="0.35"/>
    <row r="141" spans="23:27" ht="15" customHeight="1" x14ac:dyDescent="0.35"/>
    <row r="142" spans="23:27" ht="15" customHeight="1" x14ac:dyDescent="0.35"/>
    <row r="143" spans="23:27" ht="15" customHeight="1" x14ac:dyDescent="0.35"/>
    <row r="144" spans="23:27"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5"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5" customHeight="1" x14ac:dyDescent="0.35"/>
    <row r="182" ht="15" customHeight="1" x14ac:dyDescent="0.35"/>
    <row r="183" ht="15" customHeight="1" x14ac:dyDescent="0.35"/>
    <row r="184" ht="15" customHeight="1" x14ac:dyDescent="0.35"/>
    <row r="185" ht="15" customHeight="1" x14ac:dyDescent="0.35"/>
    <row r="186" ht="15" customHeight="1" x14ac:dyDescent="0.35"/>
    <row r="187" ht="15" customHeight="1" x14ac:dyDescent="0.35"/>
    <row r="188" ht="15" customHeight="1" x14ac:dyDescent="0.35"/>
    <row r="189" ht="15" customHeight="1" x14ac:dyDescent="0.35"/>
    <row r="190" ht="15" customHeight="1" x14ac:dyDescent="0.35"/>
    <row r="191" ht="15" customHeight="1" x14ac:dyDescent="0.35"/>
    <row r="192" ht="15" customHeight="1" x14ac:dyDescent="0.35"/>
    <row r="193" spans="1:5" ht="15" customHeight="1" x14ac:dyDescent="0.35"/>
    <row r="194" spans="1:5" ht="15" customHeight="1" x14ac:dyDescent="0.35"/>
    <row r="195" spans="1:5" ht="15" customHeight="1" x14ac:dyDescent="0.35"/>
    <row r="196" spans="1:5" ht="15" customHeight="1" x14ac:dyDescent="0.35"/>
    <row r="197" spans="1:5" ht="15" customHeight="1" x14ac:dyDescent="0.35"/>
    <row r="198" spans="1:5" ht="15" customHeight="1" x14ac:dyDescent="0.35"/>
    <row r="199" spans="1:5" ht="15" customHeight="1" x14ac:dyDescent="0.35"/>
    <row r="200" spans="1:5" ht="15" customHeight="1" x14ac:dyDescent="0.35"/>
    <row r="201" spans="1:5" ht="15" customHeight="1" x14ac:dyDescent="0.35"/>
    <row r="202" spans="1:5" ht="15" customHeight="1" x14ac:dyDescent="0.35"/>
    <row r="203" spans="1:5" ht="15" customHeight="1" x14ac:dyDescent="0.35"/>
    <row r="204" spans="1:5" ht="15" customHeight="1" x14ac:dyDescent="0.35"/>
    <row r="205" spans="1:5" ht="15" customHeight="1" x14ac:dyDescent="0.35"/>
    <row r="206" spans="1:5" ht="15" customHeight="1" x14ac:dyDescent="0.35"/>
    <row r="207" spans="1:5" ht="15" customHeight="1" x14ac:dyDescent="0.35"/>
    <row r="208" spans="1:5" ht="15" customHeight="1" x14ac:dyDescent="0.35">
      <c r="A208" s="18" t="str">
        <f t="array" ref="A208">IFERROR(INDEX(Data_Cleaning!$A$2:$A$251,SMALL(IF(Data_Cleaning!$G$2:$G$251=$X5,ROW(Data_Cleaning!$G$2:$G$251)-ROW(Data_Cleaning!$G$2)+1),132)),"")</f>
        <v/>
      </c>
      <c r="B208" s="19" t="str">
        <f t="array" ref="B208">IFERROR(INDEX(Data_Cleaning!$B$2:$B$251,SMALL(IF(Data_Cleaning!$G$2:$G$251=$X5,ROW(Data_Cleaning!$G$2:$G$251)-ROW(Data_Cleaning!$G$2)+1),132)),"")</f>
        <v/>
      </c>
      <c r="C208" s="18" t="str">
        <f t="array" ref="C208">IFERROR(INDEX(Data_Cleaning!$D$2:$D$251,SMALL(IF(Data_Cleaning!$G$2:$G$251=$X5,ROW(Data_Cleaning!$G$2:$G$251)-ROW(Data_Cleaning!$G$2)+1),132)),"")</f>
        <v/>
      </c>
      <c r="D208" s="18" t="str">
        <f t="array" ref="D208">IFERROR(INDEX(Data_Cleaning!$F$2:$F$251,SMALL(IF(Data_Cleaning!$G$2:$G$251=$X5,ROW(Data_Cleaning!$G$2:$G$251)-ROW(Data_Cleaning!$G$2)+1),132)),"")</f>
        <v/>
      </c>
      <c r="E208" s="20" t="str">
        <f t="array" ref="E208">IFERROR(INDEX(Data_Cleaning!$N$2:$N$251,SMALL(IF(Data_Cleaning!$G$2:$G$251=$X5,ROW(Data_Cleaning!$G$2:$G$251)-ROW(Data_Cleaning!$G$2)+1),132)),"")</f>
        <v/>
      </c>
    </row>
    <row r="209" spans="1:5" ht="15" customHeight="1" x14ac:dyDescent="0.35">
      <c r="A209" s="18" t="str">
        <f t="array" ref="A209">IFERROR(INDEX(Data_Cleaning!$A$2:$A$251,SMALL(IF(Data_Cleaning!$G$2:$G$251=$X5,ROW(Data_Cleaning!$G$2:$G$251)-ROW(Data_Cleaning!$G$2)+1),133)),"")</f>
        <v/>
      </c>
      <c r="B209" s="19" t="str">
        <f t="array" ref="B209">IFERROR(INDEX(Data_Cleaning!$B$2:$B$251,SMALL(IF(Data_Cleaning!$G$2:$G$251=$X5,ROW(Data_Cleaning!$G$2:$G$251)-ROW(Data_Cleaning!$G$2)+1),133)),"")</f>
        <v/>
      </c>
      <c r="C209" s="18" t="str">
        <f t="array" ref="C209">IFERROR(INDEX(Data_Cleaning!$D$2:$D$251,SMALL(IF(Data_Cleaning!$G$2:$G$251=$X5,ROW(Data_Cleaning!$G$2:$G$251)-ROW(Data_Cleaning!$G$2)+1),133)),"")</f>
        <v/>
      </c>
      <c r="D209" s="18" t="str">
        <f t="array" ref="D209">IFERROR(INDEX(Data_Cleaning!$F$2:$F$251,SMALL(IF(Data_Cleaning!$G$2:$G$251=$X5,ROW(Data_Cleaning!$G$2:$G$251)-ROW(Data_Cleaning!$G$2)+1),133)),"")</f>
        <v/>
      </c>
      <c r="E209" s="20" t="str">
        <f t="array" ref="E209">IFERROR(INDEX(Data_Cleaning!$N$2:$N$251,SMALL(IF(Data_Cleaning!$G$2:$G$251=$X5,ROW(Data_Cleaning!$G$2:$G$251)-ROW(Data_Cleaning!$G$2)+1),133)),"")</f>
        <v/>
      </c>
    </row>
    <row r="210" spans="1:5" ht="15" customHeight="1" x14ac:dyDescent="0.35">
      <c r="A210" s="18" t="str">
        <f t="array" ref="A210">IFERROR(INDEX(Data_Cleaning!$A$2:$A$251,SMALL(IF(Data_Cleaning!$G$2:$G$251=$X5,ROW(Data_Cleaning!$G$2:$G$251)-ROW(Data_Cleaning!$G$2)+1),134)),"")</f>
        <v/>
      </c>
      <c r="B210" s="19" t="str">
        <f t="array" ref="B210">IFERROR(INDEX(Data_Cleaning!$B$2:$B$251,SMALL(IF(Data_Cleaning!$G$2:$G$251=$X5,ROW(Data_Cleaning!$G$2:$G$251)-ROW(Data_Cleaning!$G$2)+1),134)),"")</f>
        <v/>
      </c>
      <c r="C210" s="18" t="str">
        <f t="array" ref="C210">IFERROR(INDEX(Data_Cleaning!$D$2:$D$251,SMALL(IF(Data_Cleaning!$G$2:$G$251=$X5,ROW(Data_Cleaning!$G$2:$G$251)-ROW(Data_Cleaning!$G$2)+1),134)),"")</f>
        <v/>
      </c>
      <c r="D210" s="18" t="str">
        <f t="array" ref="D210">IFERROR(INDEX(Data_Cleaning!$F$2:$F$251,SMALL(IF(Data_Cleaning!$G$2:$G$251=$X5,ROW(Data_Cleaning!$G$2:$G$251)-ROW(Data_Cleaning!$G$2)+1),134)),"")</f>
        <v/>
      </c>
      <c r="E210" s="20" t="str">
        <f t="array" ref="E210">IFERROR(INDEX(Data_Cleaning!$N$2:$N$251,SMALL(IF(Data_Cleaning!$G$2:$G$251=$X5,ROW(Data_Cleaning!$G$2:$G$251)-ROW(Data_Cleaning!$G$2)+1),134)),"")</f>
        <v/>
      </c>
    </row>
    <row r="211" spans="1:5" ht="15" customHeight="1" x14ac:dyDescent="0.35">
      <c r="A211" s="18" t="str">
        <f t="array" ref="A211">IFERROR(INDEX(Data_Cleaning!$A$2:$A$251,SMALL(IF(Data_Cleaning!$G$2:$G$251=$X5,ROW(Data_Cleaning!$G$2:$G$251)-ROW(Data_Cleaning!$G$2)+1),135)),"")</f>
        <v/>
      </c>
      <c r="B211" s="19" t="str">
        <f t="array" ref="B211">IFERROR(INDEX(Data_Cleaning!$B$2:$B$251,SMALL(IF(Data_Cleaning!$G$2:$G$251=$X5,ROW(Data_Cleaning!$G$2:$G$251)-ROW(Data_Cleaning!$G$2)+1),135)),"")</f>
        <v/>
      </c>
      <c r="C211" s="18" t="str">
        <f t="array" ref="C211">IFERROR(INDEX(Data_Cleaning!$D$2:$D$251,SMALL(IF(Data_Cleaning!$G$2:$G$251=$X5,ROW(Data_Cleaning!$G$2:$G$251)-ROW(Data_Cleaning!$G$2)+1),135)),"")</f>
        <v/>
      </c>
      <c r="D211" s="18" t="str">
        <f t="array" ref="D211">IFERROR(INDEX(Data_Cleaning!$F$2:$F$251,SMALL(IF(Data_Cleaning!$G$2:$G$251=$X5,ROW(Data_Cleaning!$G$2:$G$251)-ROW(Data_Cleaning!$G$2)+1),135)),"")</f>
        <v/>
      </c>
      <c r="E211" s="20" t="str">
        <f t="array" ref="E211">IFERROR(INDEX(Data_Cleaning!$N$2:$N$251,SMALL(IF(Data_Cleaning!$G$2:$G$251=$X5,ROW(Data_Cleaning!$G$2:$G$251)-ROW(Data_Cleaning!$G$2)+1),135)),"")</f>
        <v/>
      </c>
    </row>
    <row r="212" spans="1:5" ht="15" customHeight="1" x14ac:dyDescent="0.35">
      <c r="A212" s="18" t="str">
        <f t="array" ref="A212">IFERROR(INDEX(Data_Cleaning!$A$2:$A$251,SMALL(IF(Data_Cleaning!$G$2:$G$251=$X5,ROW(Data_Cleaning!$G$2:$G$251)-ROW(Data_Cleaning!$G$2)+1),136)),"")</f>
        <v/>
      </c>
      <c r="B212" s="19" t="str">
        <f t="array" ref="B212">IFERROR(INDEX(Data_Cleaning!$B$2:$B$251,SMALL(IF(Data_Cleaning!$G$2:$G$251=$X5,ROW(Data_Cleaning!$G$2:$G$251)-ROW(Data_Cleaning!$G$2)+1),136)),"")</f>
        <v/>
      </c>
      <c r="C212" s="18" t="str">
        <f t="array" ref="C212">IFERROR(INDEX(Data_Cleaning!$D$2:$D$251,SMALL(IF(Data_Cleaning!$G$2:$G$251=$X5,ROW(Data_Cleaning!$G$2:$G$251)-ROW(Data_Cleaning!$G$2)+1),136)),"")</f>
        <v/>
      </c>
      <c r="D212" s="18" t="str">
        <f t="array" ref="D212">IFERROR(INDEX(Data_Cleaning!$F$2:$F$251,SMALL(IF(Data_Cleaning!$G$2:$G$251=$X5,ROW(Data_Cleaning!$G$2:$G$251)-ROW(Data_Cleaning!$G$2)+1),136)),"")</f>
        <v/>
      </c>
      <c r="E212" s="20" t="str">
        <f t="array" ref="E212">IFERROR(INDEX(Data_Cleaning!$N$2:$N$251,SMALL(IF(Data_Cleaning!$G$2:$G$251=$X5,ROW(Data_Cleaning!$G$2:$G$251)-ROW(Data_Cleaning!$G$2)+1),136)),"")</f>
        <v/>
      </c>
    </row>
    <row r="213" spans="1:5" ht="15" customHeight="1" x14ac:dyDescent="0.35">
      <c r="A213" s="18" t="str">
        <f t="array" ref="A213">IFERROR(INDEX(Data_Cleaning!$A$2:$A$251,SMALL(IF(Data_Cleaning!$G$2:$G$251=$X5,ROW(Data_Cleaning!$G$2:$G$251)-ROW(Data_Cleaning!$G$2)+1),137)),"")</f>
        <v/>
      </c>
      <c r="B213" s="19" t="str">
        <f t="array" ref="B213">IFERROR(INDEX(Data_Cleaning!$B$2:$B$251,SMALL(IF(Data_Cleaning!$G$2:$G$251=$X5,ROW(Data_Cleaning!$G$2:$G$251)-ROW(Data_Cleaning!$G$2)+1),137)),"")</f>
        <v/>
      </c>
      <c r="C213" s="18" t="str">
        <f t="array" ref="C213">IFERROR(INDEX(Data_Cleaning!$D$2:$D$251,SMALL(IF(Data_Cleaning!$G$2:$G$251=$X5,ROW(Data_Cleaning!$G$2:$G$251)-ROW(Data_Cleaning!$G$2)+1),137)),"")</f>
        <v/>
      </c>
      <c r="D213" s="18" t="str">
        <f t="array" ref="D213">IFERROR(INDEX(Data_Cleaning!$F$2:$F$251,SMALL(IF(Data_Cleaning!$G$2:$G$251=$X5,ROW(Data_Cleaning!$G$2:$G$251)-ROW(Data_Cleaning!$G$2)+1),137)),"")</f>
        <v/>
      </c>
      <c r="E213" s="20" t="str">
        <f t="array" ref="E213">IFERROR(INDEX(Data_Cleaning!$N$2:$N$251,SMALL(IF(Data_Cleaning!$G$2:$G$251=$X5,ROW(Data_Cleaning!$G$2:$G$251)-ROW(Data_Cleaning!$G$2)+1),137)),"")</f>
        <v/>
      </c>
    </row>
    <row r="214" spans="1:5" ht="15" customHeight="1" x14ac:dyDescent="0.35">
      <c r="A214" s="18" t="str">
        <f t="array" ref="A214">IFERROR(INDEX(Data_Cleaning!$A$2:$A$251,SMALL(IF(Data_Cleaning!$G$2:$G$251=$X5,ROW(Data_Cleaning!$G$2:$G$251)-ROW(Data_Cleaning!$G$2)+1),138)),"")</f>
        <v/>
      </c>
      <c r="B214" s="19" t="str">
        <f t="array" ref="B214">IFERROR(INDEX(Data_Cleaning!$B$2:$B$251,SMALL(IF(Data_Cleaning!$G$2:$G$251=$X5,ROW(Data_Cleaning!$G$2:$G$251)-ROW(Data_Cleaning!$G$2)+1),138)),"")</f>
        <v/>
      </c>
      <c r="C214" s="18" t="str">
        <f t="array" ref="C214">IFERROR(INDEX(Data_Cleaning!$D$2:$D$251,SMALL(IF(Data_Cleaning!$G$2:$G$251=$X5,ROW(Data_Cleaning!$G$2:$G$251)-ROW(Data_Cleaning!$G$2)+1),138)),"")</f>
        <v/>
      </c>
      <c r="D214" s="18" t="str">
        <f t="array" ref="D214">IFERROR(INDEX(Data_Cleaning!$F$2:$F$251,SMALL(IF(Data_Cleaning!$G$2:$G$251=$X5,ROW(Data_Cleaning!$G$2:$G$251)-ROW(Data_Cleaning!$G$2)+1),138)),"")</f>
        <v/>
      </c>
      <c r="E214" s="20" t="str">
        <f t="array" ref="E214">IFERROR(INDEX(Data_Cleaning!$N$2:$N$251,SMALL(IF(Data_Cleaning!$G$2:$G$251=$X5,ROW(Data_Cleaning!$G$2:$G$251)-ROW(Data_Cleaning!$G$2)+1),138)),"")</f>
        <v/>
      </c>
    </row>
    <row r="215" spans="1:5" ht="15" customHeight="1" x14ac:dyDescent="0.35">
      <c r="A215" s="18" t="str">
        <f t="array" ref="A215">IFERROR(INDEX(Data_Cleaning!$A$2:$A$251,SMALL(IF(Data_Cleaning!$G$2:$G$251=$X5,ROW(Data_Cleaning!$G$2:$G$251)-ROW(Data_Cleaning!$G$2)+1),139)),"")</f>
        <v/>
      </c>
      <c r="B215" s="19" t="str">
        <f t="array" ref="B215">IFERROR(INDEX(Data_Cleaning!$B$2:$B$251,SMALL(IF(Data_Cleaning!$G$2:$G$251=$X5,ROW(Data_Cleaning!$G$2:$G$251)-ROW(Data_Cleaning!$G$2)+1),139)),"")</f>
        <v/>
      </c>
      <c r="C215" s="18" t="str">
        <f t="array" ref="C215">IFERROR(INDEX(Data_Cleaning!$D$2:$D$251,SMALL(IF(Data_Cleaning!$G$2:$G$251=$X5,ROW(Data_Cleaning!$G$2:$G$251)-ROW(Data_Cleaning!$G$2)+1),139)),"")</f>
        <v/>
      </c>
      <c r="D215" s="18" t="str">
        <f t="array" ref="D215">IFERROR(INDEX(Data_Cleaning!$F$2:$F$251,SMALL(IF(Data_Cleaning!$G$2:$G$251=$X5,ROW(Data_Cleaning!$G$2:$G$251)-ROW(Data_Cleaning!$G$2)+1),139)),"")</f>
        <v/>
      </c>
      <c r="E215" s="20" t="str">
        <f t="array" ref="E215">IFERROR(INDEX(Data_Cleaning!$N$2:$N$251,SMALL(IF(Data_Cleaning!$G$2:$G$251=$X5,ROW(Data_Cleaning!$G$2:$G$251)-ROW(Data_Cleaning!$G$2)+1),139)),"")</f>
        <v/>
      </c>
    </row>
    <row r="216" spans="1:5" ht="15" customHeight="1" x14ac:dyDescent="0.35">
      <c r="A216" s="18" t="str">
        <f t="array" ref="A216">IFERROR(INDEX(Data_Cleaning!$A$2:$A$251,SMALL(IF(Data_Cleaning!$G$2:$G$251=$X5,ROW(Data_Cleaning!$G$2:$G$251)-ROW(Data_Cleaning!$G$2)+1),140)),"")</f>
        <v/>
      </c>
      <c r="B216" s="19" t="str">
        <f t="array" ref="B216">IFERROR(INDEX(Data_Cleaning!$B$2:$B$251,SMALL(IF(Data_Cleaning!$G$2:$G$251=$X5,ROW(Data_Cleaning!$G$2:$G$251)-ROW(Data_Cleaning!$G$2)+1),140)),"")</f>
        <v/>
      </c>
      <c r="C216" s="18" t="str">
        <f t="array" ref="C216">IFERROR(INDEX(Data_Cleaning!$D$2:$D$251,SMALL(IF(Data_Cleaning!$G$2:$G$251=$X5,ROW(Data_Cleaning!$G$2:$G$251)-ROW(Data_Cleaning!$G$2)+1),140)),"")</f>
        <v/>
      </c>
      <c r="D216" s="18" t="str">
        <f t="array" ref="D216">IFERROR(INDEX(Data_Cleaning!$F$2:$F$251,SMALL(IF(Data_Cleaning!$G$2:$G$251=$X5,ROW(Data_Cleaning!$G$2:$G$251)-ROW(Data_Cleaning!$G$2)+1),140)),"")</f>
        <v/>
      </c>
      <c r="E216" s="20" t="str">
        <f t="array" ref="E216">IFERROR(INDEX(Data_Cleaning!$N$2:$N$251,SMALL(IF(Data_Cleaning!$G$2:$G$251=$X5,ROW(Data_Cleaning!$G$2:$G$251)-ROW(Data_Cleaning!$G$2)+1),140)),"")</f>
        <v/>
      </c>
    </row>
    <row r="218" spans="1:5" ht="15" customHeight="1" x14ac:dyDescent="0.35"/>
    <row r="220" spans="1:5" ht="15.75" customHeight="1" x14ac:dyDescent="0.35"/>
    <row r="222" spans="1:5" ht="15" customHeight="1" x14ac:dyDescent="0.35"/>
    <row r="223" spans="1:5" ht="15" customHeight="1" x14ac:dyDescent="0.35"/>
    <row r="224" spans="1:5"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sheetData>
  <mergeCells count="4">
    <mergeCell ref="W3:AB3"/>
    <mergeCell ref="O3:T3"/>
    <mergeCell ref="A1:K1"/>
    <mergeCell ref="O21:T21"/>
  </mergeCells>
  <conditionalFormatting sqref="I4:I53">
    <cfRule type="cellIs" dxfId="0" priority="2" operator="equal">
      <formula>"High Value"</formula>
    </cfRule>
  </conditionalFormatting>
  <conditionalFormatting sqref="Q6:Q15">
    <cfRule type="colorScale" priority="3">
      <colorScale>
        <cfvo type="min"/>
        <cfvo type="max"/>
        <color rgb="FFF8696B"/>
        <color rgb="FF63BE7B"/>
      </colorScale>
    </cfRule>
  </conditionalFormatting>
  <conditionalFormatting sqref="R25:R36">
    <cfRule type="iconSet" priority="4">
      <iconSet iconSet="3Arrows">
        <cfvo type="percent" val="0"/>
        <cfvo type="percent" val="33"/>
        <cfvo type="percent" val="67"/>
      </iconSet>
    </cfRule>
  </conditionalFormatting>
  <dataValidations count="1">
    <dataValidation type="list" sqref="X5" xr:uid="{00000000-0002-0000-0200-000000000000}">
      <formula1>"Electronics,Appliances,Furniture"</formula1>
      <formula2>0</formula2>
    </dataValidation>
  </dataValidations>
  <pageMargins left="0.75" right="0.75" top="1" bottom="1" header="0.511811023622047" footer="0.511811023622047"/>
  <pageSetup paperSize="9" orientation="portrait" horizontalDpi="300" verticalDpi="300"/>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I44"/>
  <sheetViews>
    <sheetView topLeftCell="A17" zoomScale="65" zoomScaleNormal="65" workbookViewId="0">
      <selection activeCell="K43" sqref="K43"/>
    </sheetView>
  </sheetViews>
  <sheetFormatPr defaultColWidth="8.6328125" defaultRowHeight="14.5" x14ac:dyDescent="0.35"/>
  <cols>
    <col min="1" max="1" width="48" customWidth="1"/>
    <col min="2" max="3" width="20" customWidth="1"/>
    <col min="4" max="4" width="18" customWidth="1"/>
    <col min="6" max="6" width="11.54296875" customWidth="1"/>
    <col min="7" max="7" width="11.1796875" customWidth="1"/>
    <col min="8" max="8" width="13.36328125" customWidth="1"/>
    <col min="9" max="9" width="11.453125" customWidth="1"/>
  </cols>
  <sheetData>
    <row r="1" spans="1:6" ht="15.75" customHeight="1" x14ac:dyDescent="0.35">
      <c r="A1" s="81" t="s">
        <v>432</v>
      </c>
      <c r="B1" s="68"/>
      <c r="C1" s="68"/>
      <c r="D1" s="68"/>
      <c r="E1" s="68"/>
      <c r="F1" s="68"/>
    </row>
    <row r="3" spans="1:6" ht="15" customHeight="1" x14ac:dyDescent="0.35">
      <c r="A3" s="11" t="s">
        <v>433</v>
      </c>
      <c r="B3" s="7" t="s">
        <v>71</v>
      </c>
    </row>
    <row r="4" spans="1:6" ht="15" customHeight="1" x14ac:dyDescent="0.35">
      <c r="A4" s="11" t="s">
        <v>434</v>
      </c>
      <c r="B4" s="9">
        <f>VLOOKUP("P001",Data_Cleaning!E2:I251,5,FALSE())</f>
        <v>899.99</v>
      </c>
    </row>
    <row r="5" spans="1:6" ht="15" customHeight="1" x14ac:dyDescent="0.35">
      <c r="A5" s="11" t="s">
        <v>435</v>
      </c>
      <c r="B5" s="21">
        <v>75</v>
      </c>
    </row>
    <row r="6" spans="1:6" ht="15" customHeight="1" x14ac:dyDescent="0.35">
      <c r="A6" s="11" t="s">
        <v>436</v>
      </c>
      <c r="B6" s="9">
        <f>B4*B5</f>
        <v>67499.25</v>
      </c>
    </row>
    <row r="7" spans="1:6" ht="15" customHeight="1" x14ac:dyDescent="0.35">
      <c r="A7" s="11" t="s">
        <v>437</v>
      </c>
      <c r="B7" s="22">
        <v>50000</v>
      </c>
    </row>
    <row r="8" spans="1:6" ht="15" customHeight="1" x14ac:dyDescent="0.35">
      <c r="A8" s="11" t="s">
        <v>438</v>
      </c>
      <c r="B8" s="23">
        <f>B7/B4</f>
        <v>55.556172846364959</v>
      </c>
    </row>
    <row r="10" spans="1:6" ht="15" customHeight="1" x14ac:dyDescent="0.35">
      <c r="A10" s="24"/>
    </row>
    <row r="13" spans="1:6" ht="15.75" customHeight="1" x14ac:dyDescent="0.35">
      <c r="A13" s="81" t="s">
        <v>439</v>
      </c>
      <c r="B13" s="68"/>
      <c r="C13" s="68"/>
      <c r="D13" s="68"/>
      <c r="E13" s="68"/>
      <c r="F13" s="68"/>
    </row>
    <row r="15" spans="1:6" ht="15" customHeight="1" x14ac:dyDescent="0.35">
      <c r="A15" s="11" t="s">
        <v>440</v>
      </c>
      <c r="B15" s="9">
        <f>SUM(Data_Cleaning!N2:N251)</f>
        <v>229192.47000000032</v>
      </c>
    </row>
    <row r="17" spans="1:6" ht="15" customHeight="1" x14ac:dyDescent="0.35">
      <c r="A17" s="10" t="s">
        <v>441</v>
      </c>
      <c r="B17" s="10" t="s">
        <v>442</v>
      </c>
      <c r="C17" s="10" t="s">
        <v>443</v>
      </c>
      <c r="D17" s="10" t="s">
        <v>444</v>
      </c>
    </row>
    <row r="18" spans="1:6" ht="15" customHeight="1" x14ac:dyDescent="0.35">
      <c r="A18" s="7" t="s">
        <v>445</v>
      </c>
      <c r="B18" s="25">
        <v>0.05</v>
      </c>
      <c r="C18" s="25">
        <v>0.1</v>
      </c>
      <c r="D18" s="9">
        <f>$B$15*(1+B18)*(1+C18)</f>
        <v>264717.30285000039</v>
      </c>
    </row>
    <row r="19" spans="1:6" ht="15" customHeight="1" x14ac:dyDescent="0.35">
      <c r="A19" s="7" t="s">
        <v>446</v>
      </c>
      <c r="B19" s="25">
        <v>0</v>
      </c>
      <c r="C19" s="25">
        <v>0</v>
      </c>
      <c r="D19" s="9">
        <f>$B$15*(1+B19)*(1+C19)</f>
        <v>229192.47000000032</v>
      </c>
    </row>
    <row r="20" spans="1:6" ht="15" customHeight="1" x14ac:dyDescent="0.35">
      <c r="A20" s="7" t="s">
        <v>447</v>
      </c>
      <c r="B20" s="25">
        <v>-0.05</v>
      </c>
      <c r="C20" s="25">
        <v>-0.1</v>
      </c>
      <c r="D20" s="9">
        <f>$B$15*(1+B20)*(1+C20)</f>
        <v>195959.56185000029</v>
      </c>
    </row>
    <row r="21" spans="1:6" ht="14.25" customHeight="1" x14ac:dyDescent="0.35">
      <c r="A21" s="13"/>
      <c r="B21" s="13"/>
      <c r="C21" s="13"/>
      <c r="D21" s="13"/>
    </row>
    <row r="22" spans="1:6" ht="15" customHeight="1" x14ac:dyDescent="0.35">
      <c r="A22" s="24"/>
    </row>
    <row r="25" spans="1:6" ht="15.75" customHeight="1" x14ac:dyDescent="0.35">
      <c r="A25" s="81" t="s">
        <v>448</v>
      </c>
      <c r="B25" s="68"/>
      <c r="C25" s="68"/>
      <c r="D25" s="68"/>
      <c r="E25" s="68"/>
      <c r="F25" s="68"/>
    </row>
    <row r="26" spans="1:6" ht="14.25" customHeight="1" x14ac:dyDescent="0.35">
      <c r="A26" s="13"/>
      <c r="B26" s="13"/>
    </row>
    <row r="27" spans="1:6" ht="15" customHeight="1" x14ac:dyDescent="0.35">
      <c r="A27" t="s">
        <v>449</v>
      </c>
    </row>
    <row r="28" spans="1:6" ht="15" customHeight="1" x14ac:dyDescent="0.35"/>
    <row r="29" spans="1:6" ht="14.25" customHeight="1" x14ac:dyDescent="0.35">
      <c r="A29" s="83" t="s">
        <v>450</v>
      </c>
      <c r="B29" s="84"/>
    </row>
    <row r="30" spans="1:6" ht="15" customHeight="1" x14ac:dyDescent="0.35">
      <c r="A30" s="13" t="s">
        <v>451</v>
      </c>
      <c r="B30" s="13">
        <v>0.45808036093237797</v>
      </c>
    </row>
    <row r="31" spans="1:6" ht="15" customHeight="1" x14ac:dyDescent="0.35">
      <c r="A31" s="13" t="s">
        <v>452</v>
      </c>
      <c r="B31" s="13">
        <v>0.20983761707193799</v>
      </c>
    </row>
    <row r="32" spans="1:6" ht="15" customHeight="1" x14ac:dyDescent="0.35">
      <c r="A32" s="13" t="s">
        <v>453</v>
      </c>
      <c r="B32" s="13">
        <v>0.20665147843109899</v>
      </c>
    </row>
    <row r="33" spans="1:9" ht="15" customHeight="1" x14ac:dyDescent="0.35">
      <c r="A33" s="13" t="s">
        <v>454</v>
      </c>
      <c r="B33" s="13">
        <v>919.60715349471104</v>
      </c>
    </row>
    <row r="34" spans="1:9" ht="14.25" customHeight="1" x14ac:dyDescent="0.35">
      <c r="A34" s="13" t="s">
        <v>455</v>
      </c>
      <c r="B34" s="13">
        <v>250</v>
      </c>
    </row>
    <row r="35" spans="1:9" ht="15" customHeight="1" x14ac:dyDescent="0.35"/>
    <row r="36" spans="1:9" ht="14.25" customHeight="1" x14ac:dyDescent="0.35">
      <c r="A36" t="s">
        <v>456</v>
      </c>
    </row>
    <row r="37" spans="1:9" ht="15" customHeight="1" x14ac:dyDescent="0.35">
      <c r="A37" s="26"/>
      <c r="B37" s="26" t="s">
        <v>457</v>
      </c>
      <c r="C37" s="26" t="s">
        <v>458</v>
      </c>
      <c r="D37" s="26" t="s">
        <v>459</v>
      </c>
      <c r="E37" s="26" t="s">
        <v>460</v>
      </c>
      <c r="F37" s="26" t="s">
        <v>461</v>
      </c>
    </row>
    <row r="38" spans="1:9" ht="14.25" customHeight="1" x14ac:dyDescent="0.35">
      <c r="A38" s="13" t="s">
        <v>462</v>
      </c>
      <c r="B38" s="13">
        <v>1</v>
      </c>
      <c r="C38" s="13">
        <v>55695916.896352597</v>
      </c>
      <c r="D38" s="13">
        <v>55695916.896352597</v>
      </c>
      <c r="E38" s="13">
        <v>65.859537429508904</v>
      </c>
      <c r="F38" s="13">
        <v>2.2586478953134699E-14</v>
      </c>
    </row>
    <row r="39" spans="1:9" ht="14.25" customHeight="1" x14ac:dyDescent="0.35">
      <c r="A39" s="13" t="s">
        <v>463</v>
      </c>
      <c r="B39" s="13">
        <v>248</v>
      </c>
      <c r="C39" s="13">
        <v>209727974.556144</v>
      </c>
      <c r="D39" s="13">
        <v>845677.316758645</v>
      </c>
      <c r="E39" s="13"/>
      <c r="F39" s="13"/>
    </row>
    <row r="40" spans="1:9" ht="14.25" customHeight="1" x14ac:dyDescent="0.35">
      <c r="A40" s="13" t="s">
        <v>464</v>
      </c>
      <c r="B40" s="13">
        <v>249</v>
      </c>
      <c r="C40" s="13">
        <v>265423891.45249701</v>
      </c>
      <c r="D40" s="13"/>
      <c r="E40" s="13"/>
      <c r="F40" s="13"/>
    </row>
    <row r="42" spans="1:9" ht="14.25" customHeight="1" x14ac:dyDescent="0.35">
      <c r="A42" s="26"/>
      <c r="B42" s="26" t="s">
        <v>465</v>
      </c>
      <c r="C42" s="26" t="s">
        <v>454</v>
      </c>
      <c r="D42" s="26" t="s">
        <v>466</v>
      </c>
      <c r="E42" s="26" t="s">
        <v>467</v>
      </c>
      <c r="F42" s="26" t="s">
        <v>468</v>
      </c>
      <c r="G42" s="26" t="s">
        <v>469</v>
      </c>
      <c r="H42" s="26" t="s">
        <v>470</v>
      </c>
      <c r="I42" s="26" t="s">
        <v>471</v>
      </c>
    </row>
    <row r="43" spans="1:9" ht="14.25" customHeight="1" x14ac:dyDescent="0.35">
      <c r="A43" s="13" t="s">
        <v>472</v>
      </c>
      <c r="B43" s="13">
        <v>-148.85464891541901</v>
      </c>
      <c r="C43" s="13">
        <v>143.61334429876501</v>
      </c>
      <c r="D43" s="13">
        <v>-1.0364959443166399</v>
      </c>
      <c r="E43" s="13">
        <v>0.30098040367911699</v>
      </c>
      <c r="F43" s="13">
        <v>-431.71199538208901</v>
      </c>
      <c r="G43" s="13">
        <v>134.002697551251</v>
      </c>
      <c r="H43" s="13">
        <v>-431.71199538208901</v>
      </c>
      <c r="I43" s="13">
        <v>134.002697551251</v>
      </c>
    </row>
    <row r="44" spans="1:9" ht="14.25" customHeight="1" x14ac:dyDescent="0.35">
      <c r="A44" s="13" t="s">
        <v>26</v>
      </c>
      <c r="B44" s="13">
        <v>353.79300428798803</v>
      </c>
      <c r="C44" s="13">
        <v>43.595323340526903</v>
      </c>
      <c r="D44" s="13">
        <v>8.1153889265708692</v>
      </c>
      <c r="E44" s="13">
        <v>2.25864789531338E-14</v>
      </c>
      <c r="F44" s="13">
        <v>267.92871682452898</v>
      </c>
      <c r="G44" s="13">
        <v>439.65729175144799</v>
      </c>
      <c r="H44" s="13">
        <v>267.92871682452898</v>
      </c>
      <c r="I44" s="13">
        <v>439.65729175144799</v>
      </c>
    </row>
  </sheetData>
  <mergeCells count="4">
    <mergeCell ref="A13:F13"/>
    <mergeCell ref="A25:F25"/>
    <mergeCell ref="A1:F1"/>
    <mergeCell ref="A29:B2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9"/>
  <sheetViews>
    <sheetView topLeftCell="A5" zoomScale="45" zoomScaleNormal="45" workbookViewId="0">
      <selection sqref="A1:C1"/>
    </sheetView>
  </sheetViews>
  <sheetFormatPr defaultColWidth="8.6328125" defaultRowHeight="14.5" x14ac:dyDescent="0.35"/>
  <cols>
    <col min="1" max="1" width="18" customWidth="1"/>
    <col min="2" max="2" width="21.1796875" customWidth="1"/>
    <col min="3" max="5" width="18" customWidth="1"/>
    <col min="6" max="6" width="15.26953125" customWidth="1"/>
    <col min="7" max="7" width="16.6328125" customWidth="1"/>
    <col min="8" max="8" width="12.6328125" customWidth="1"/>
    <col min="9" max="9" width="13.6328125" customWidth="1"/>
    <col min="10" max="10" width="13.90625" customWidth="1"/>
  </cols>
  <sheetData>
    <row r="1" spans="1:16" ht="15" customHeight="1" x14ac:dyDescent="0.35">
      <c r="A1" s="85" t="s">
        <v>473</v>
      </c>
      <c r="B1" s="68"/>
      <c r="C1" s="68"/>
    </row>
    <row r="2" spans="1:16" ht="15" customHeight="1" x14ac:dyDescent="0.35">
      <c r="A2" s="27" t="s">
        <v>29</v>
      </c>
      <c r="B2" s="27" t="s">
        <v>474</v>
      </c>
    </row>
    <row r="3" spans="1:16" ht="15" customHeight="1" x14ac:dyDescent="0.35">
      <c r="A3" s="28" t="s">
        <v>12</v>
      </c>
      <c r="B3" s="29">
        <f>SUMIFS(tblClean[Total_Amount],tblClean[Region],$A3)</f>
        <v>59288.389999999992</v>
      </c>
    </row>
    <row r="4" spans="1:16" ht="15" customHeight="1" x14ac:dyDescent="0.35">
      <c r="A4" s="28" t="s">
        <v>15</v>
      </c>
      <c r="B4" s="29">
        <f>SUMIFS(tblClean[Total_Amount],tblClean[Region],$A4)</f>
        <v>50808.310000000012</v>
      </c>
    </row>
    <row r="5" spans="1:16" ht="15" customHeight="1" x14ac:dyDescent="0.35">
      <c r="A5" s="28" t="s">
        <v>19</v>
      </c>
      <c r="B5" s="29">
        <f>SUMIFS(tblClean[Total_Amount],tblClean[Region],$A5)</f>
        <v>41408.680000000015</v>
      </c>
    </row>
    <row r="6" spans="1:16" ht="15" customHeight="1" x14ac:dyDescent="0.35">
      <c r="A6" s="28" t="s">
        <v>8</v>
      </c>
      <c r="B6" s="29">
        <f>SUMIFS(tblClean[Total_Amount],tblClean[Region],$A6)</f>
        <v>41288.340000000018</v>
      </c>
    </row>
    <row r="7" spans="1:16" ht="15" customHeight="1" x14ac:dyDescent="0.35">
      <c r="A7" s="28" t="s">
        <v>18</v>
      </c>
      <c r="B7" s="29">
        <f>SUMIFS(tblClean[Total_Amount],tblClean[Region],$A7)</f>
        <v>36398.750000000007</v>
      </c>
    </row>
    <row r="8" spans="1:16" ht="15" customHeight="1" x14ac:dyDescent="0.35">
      <c r="A8" s="30" t="s">
        <v>475</v>
      </c>
      <c r="B8" s="31">
        <f>SUM(B3:B7)</f>
        <v>229192.47000000006</v>
      </c>
    </row>
    <row r="10" spans="1:16" ht="15" customHeight="1" x14ac:dyDescent="0.35">
      <c r="P10" t="s">
        <v>7</v>
      </c>
    </row>
    <row r="11" spans="1:16" ht="15" customHeight="1" x14ac:dyDescent="0.35"/>
    <row r="12" spans="1:16" ht="15" customHeight="1" x14ac:dyDescent="0.35"/>
    <row r="13" spans="1:16" ht="15" customHeight="1" x14ac:dyDescent="0.35"/>
    <row r="14" spans="1:16" ht="15" customHeight="1" x14ac:dyDescent="0.35"/>
    <row r="15" spans="1:16" ht="15" customHeight="1" x14ac:dyDescent="0.35"/>
    <row r="16" spans="1:16" ht="15" customHeight="1" x14ac:dyDescent="0.35"/>
    <row r="17" spans="1:5" ht="15" customHeight="1" x14ac:dyDescent="0.35"/>
    <row r="18" spans="1:5" ht="15" customHeight="1" x14ac:dyDescent="0.35"/>
    <row r="19" spans="1:5" ht="15" customHeight="1" x14ac:dyDescent="0.35">
      <c r="A19" s="67" t="s">
        <v>476</v>
      </c>
      <c r="B19" s="68"/>
      <c r="C19" s="68"/>
      <c r="D19" s="68"/>
      <c r="E19" s="68"/>
    </row>
    <row r="20" spans="1:5" ht="15" customHeight="1" x14ac:dyDescent="0.35">
      <c r="A20" s="32" t="s">
        <v>427</v>
      </c>
      <c r="B20" s="32" t="s">
        <v>9</v>
      </c>
      <c r="C20" s="32" t="s">
        <v>13</v>
      </c>
      <c r="D20" s="32" t="s">
        <v>16</v>
      </c>
      <c r="E20" s="32" t="s">
        <v>475</v>
      </c>
    </row>
    <row r="21" spans="1:5" ht="15" customHeight="1" x14ac:dyDescent="0.35">
      <c r="A21" s="28" t="s">
        <v>477</v>
      </c>
      <c r="B21" s="29">
        <f>SUMPRODUCT((YEAR(tblClean[Date])=2024)*(MONTH(tblClean[Date])=4)*(tblClean[Category]="Appliances")*tblClean[Total_Amount])</f>
        <v>1019.83</v>
      </c>
      <c r="C21" s="29">
        <f>SUMPRODUCT((YEAR(tblClean[Date])=2024)*(MONTH(tblClean[Date])=4)*(tblClean[Category]="Electronics")*tblClean[Total_Amount])</f>
        <v>17199.679999999997</v>
      </c>
      <c r="D21" s="29">
        <f>SUMPRODUCT((YEAR(tblClean[Date])=2024)*(MONTH(tblClean[Date])=4)*(tblClean[Category]="Furniture")*tblClean[Total_Amount])</f>
        <v>2699.82</v>
      </c>
      <c r="E21" s="29">
        <f t="shared" ref="E21:E33" si="0">SUM(B21:D21)</f>
        <v>20919.329999999998</v>
      </c>
    </row>
    <row r="22" spans="1:5" ht="15" customHeight="1" x14ac:dyDescent="0.35">
      <c r="A22" s="28" t="s">
        <v>478</v>
      </c>
      <c r="B22" s="29">
        <f>SUMPRODUCT((YEAR(tblClean[Date])=2024)*(MONTH(tblClean[Date])=5)*(tblClean[Category]="Appliances")*tblClean[Total_Amount])</f>
        <v>919.87</v>
      </c>
      <c r="C22" s="29">
        <f>SUMPRODUCT((YEAR(tblClean[Date])=2024)*(MONTH(tblClean[Date])=5)*(tblClean[Category]="Electronics")*tblClean[Total_Amount])</f>
        <v>10169.729999999998</v>
      </c>
      <c r="D22" s="29">
        <f>SUMPRODUCT((YEAR(tblClean[Date])=2024)*(MONTH(tblClean[Date])=5)*(tblClean[Category]="Furniture")*tblClean[Total_Amount])</f>
        <v>5949.75</v>
      </c>
      <c r="E22" s="29">
        <f t="shared" si="0"/>
        <v>17039.349999999999</v>
      </c>
    </row>
    <row r="23" spans="1:5" ht="15" customHeight="1" x14ac:dyDescent="0.35">
      <c r="A23" s="28" t="s">
        <v>479</v>
      </c>
      <c r="B23" s="29">
        <f>SUMPRODUCT((YEAR(tblClean[Date])=2024)*(MONTH(tblClean[Date])=6)*(tblClean[Category]="Appliances")*tblClean[Total_Amount])</f>
        <v>499.92</v>
      </c>
      <c r="C23" s="29">
        <f>SUMPRODUCT((YEAR(tblClean[Date])=2024)*(MONTH(tblClean[Date])=6)*(tblClean[Category]="Electronics")*tblClean[Total_Amount])</f>
        <v>17749.579999999998</v>
      </c>
      <c r="D23" s="29">
        <f>SUMPRODUCT((YEAR(tblClean[Date])=2024)*(MONTH(tblClean[Date])=6)*(tblClean[Category]="Furniture")*tblClean[Total_Amount])</f>
        <v>1049.95</v>
      </c>
      <c r="E23" s="29">
        <f t="shared" si="0"/>
        <v>19299.449999999997</v>
      </c>
    </row>
    <row r="24" spans="1:5" ht="15" customHeight="1" x14ac:dyDescent="0.35">
      <c r="A24" s="28" t="s">
        <v>480</v>
      </c>
      <c r="B24" s="29">
        <f>SUMPRODUCT((YEAR(tblClean[Date])=2024)*(MONTH(tblClean[Date])=7)*(tblClean[Category]="Appliances")*tblClean[Total_Amount])</f>
        <v>939.86</v>
      </c>
      <c r="C24" s="29">
        <f>SUMPRODUCT((YEAR(tblClean[Date])=2024)*(MONTH(tblClean[Date])=7)*(tblClean[Category]="Electronics")*tblClean[Total_Amount])</f>
        <v>14439.679999999997</v>
      </c>
      <c r="D24" s="29">
        <f>SUMPRODUCT((YEAR(tblClean[Date])=2024)*(MONTH(tblClean[Date])=7)*(tblClean[Category]="Furniture")*tblClean[Total_Amount])</f>
        <v>3099.8600000000006</v>
      </c>
      <c r="E24" s="29">
        <f t="shared" si="0"/>
        <v>18479.399999999998</v>
      </c>
    </row>
    <row r="25" spans="1:5" ht="15" customHeight="1" x14ac:dyDescent="0.35">
      <c r="A25" s="28" t="s">
        <v>481</v>
      </c>
      <c r="B25" s="29">
        <f>SUMPRODUCT((YEAR(tblClean[Date])=2024)*(MONTH(tblClean[Date])=8)*(tblClean[Category]="Appliances")*tblClean[Total_Amount])</f>
        <v>239.97</v>
      </c>
      <c r="C25" s="29">
        <f>SUMPRODUCT((YEAR(tblClean[Date])=2024)*(MONTH(tblClean[Date])=8)*(tblClean[Category]="Electronics")*tblClean[Total_Amount])</f>
        <v>10869.689999999999</v>
      </c>
      <c r="D25" s="29">
        <f>SUMPRODUCT((YEAR(tblClean[Date])=2024)*(MONTH(tblClean[Date])=8)*(tblClean[Category]="Furniture")*tblClean[Total_Amount])</f>
        <v>4649.7699999999995</v>
      </c>
      <c r="E25" s="29">
        <f t="shared" si="0"/>
        <v>15759.429999999997</v>
      </c>
    </row>
    <row r="26" spans="1:5" ht="14.25" customHeight="1" x14ac:dyDescent="0.35">
      <c r="A26" s="28" t="s">
        <v>482</v>
      </c>
      <c r="B26" s="29">
        <f>SUMPRODUCT((YEAR(tblClean[Date])=2024)*(MONTH(tblClean[Date])=9)*(tblClean[Category]="Appliances")*tblClean[Total_Amount])</f>
        <v>759.89</v>
      </c>
      <c r="C26" s="29">
        <f>SUMPRODUCT((YEAR(tblClean[Date])=2024)*(MONTH(tblClean[Date])=9)*(tblClean[Category]="Electronics")*tblClean[Total_Amount])</f>
        <v>9279.75</v>
      </c>
      <c r="D26" s="29">
        <f>SUMPRODUCT((YEAR(tblClean[Date])=2024)*(MONTH(tblClean[Date])=9)*(tblClean[Category]="Furniture")*tblClean[Total_Amount])</f>
        <v>2949.87</v>
      </c>
      <c r="E26" s="29">
        <f t="shared" si="0"/>
        <v>12989.509999999998</v>
      </c>
    </row>
    <row r="27" spans="1:5" ht="15" customHeight="1" x14ac:dyDescent="0.35">
      <c r="A27" s="28" t="s">
        <v>483</v>
      </c>
      <c r="B27" s="29">
        <f>SUMPRODUCT((YEAR(tblClean[Date])=2024)*(MONTH(tblClean[Date])=10)*(tblClean[Category]="Appliances")*tblClean[Total_Amount])</f>
        <v>119.98</v>
      </c>
      <c r="C27" s="29">
        <f>SUMPRODUCT((YEAR(tblClean[Date])=2024)*(MONTH(tblClean[Date])=10)*(tblClean[Category]="Electronics")*tblClean[Total_Amount])</f>
        <v>17939.64</v>
      </c>
      <c r="D27" s="29">
        <f>SUMPRODUCT((YEAR(tblClean[Date])=2024)*(MONTH(tblClean[Date])=10)*(tblClean[Category]="Furniture")*tblClean[Total_Amount])</f>
        <v>2549.9</v>
      </c>
      <c r="E27" s="29">
        <f t="shared" si="0"/>
        <v>20609.52</v>
      </c>
    </row>
    <row r="28" spans="1:5" ht="15" customHeight="1" x14ac:dyDescent="0.35">
      <c r="A28" s="28" t="s">
        <v>484</v>
      </c>
      <c r="B28" s="29">
        <f>SUMPRODUCT((YEAR(tblClean[Date])=2024)*(MONTH(tblClean[Date])=11)*(tblClean[Category]="Appliances")*tblClean[Total_Amount])</f>
        <v>539.91</v>
      </c>
      <c r="C28" s="29">
        <f>SUMPRODUCT((YEAR(tblClean[Date])=2024)*(MONTH(tblClean[Date])=11)*(tblClean[Category]="Electronics")*tblClean[Total_Amount])</f>
        <v>7969.7399999999989</v>
      </c>
      <c r="D28" s="29">
        <f>SUMPRODUCT((YEAR(tblClean[Date])=2024)*(MONTH(tblClean[Date])=11)*(tblClean[Category]="Furniture")*tblClean[Total_Amount])</f>
        <v>3799.7900000000004</v>
      </c>
      <c r="E28" s="29">
        <f t="shared" si="0"/>
        <v>12309.44</v>
      </c>
    </row>
    <row r="29" spans="1:5" ht="15" customHeight="1" x14ac:dyDescent="0.35">
      <c r="A29" s="28" t="s">
        <v>485</v>
      </c>
      <c r="B29" s="29">
        <f>SUMPRODUCT((YEAR(tblClean[Date])=2024)*(MONTH(tblClean[Date])=12)*(tblClean[Category]="Appliances")*tblClean[Total_Amount])</f>
        <v>859.88</v>
      </c>
      <c r="C29" s="29">
        <f>SUMPRODUCT((YEAR(tblClean[Date])=2024)*(MONTH(tblClean[Date])=12)*(tblClean[Category]="Electronics")*tblClean[Total_Amount])</f>
        <v>17029.659999999996</v>
      </c>
      <c r="D29" s="29">
        <f>SUMPRODUCT((YEAR(tblClean[Date])=2024)*(MONTH(tblClean[Date])=12)*(tblClean[Category]="Furniture")*tblClean[Total_Amount])</f>
        <v>5149.76</v>
      </c>
      <c r="E29" s="29">
        <f t="shared" si="0"/>
        <v>23039.299999999996</v>
      </c>
    </row>
    <row r="30" spans="1:5" ht="15" customHeight="1" x14ac:dyDescent="0.35">
      <c r="A30" s="28" t="s">
        <v>486</v>
      </c>
      <c r="B30" s="29">
        <f>SUMPRODUCT((YEAR(tblClean[Date])=2025)*(MONTH(tblClean[Date])=1)*(tblClean[Category]="Appliances")*tblClean[Total_Amount])</f>
        <v>619.9</v>
      </c>
      <c r="C30" s="29">
        <f>SUMPRODUCT((YEAR(tblClean[Date])=2025)*(MONTH(tblClean[Date])=1)*(tblClean[Category]="Electronics")*tblClean[Total_Amount])</f>
        <v>18429.519999999997</v>
      </c>
      <c r="D30" s="29">
        <f>SUMPRODUCT((YEAR(tblClean[Date])=2025)*(MONTH(tblClean[Date])=1)*(tblClean[Category]="Furniture")*tblClean[Total_Amount])</f>
        <v>6749.7300000000005</v>
      </c>
      <c r="E30" s="29">
        <f t="shared" si="0"/>
        <v>25799.149999999998</v>
      </c>
    </row>
    <row r="31" spans="1:5" ht="15" customHeight="1" x14ac:dyDescent="0.35">
      <c r="A31" s="28" t="s">
        <v>487</v>
      </c>
      <c r="B31" s="29">
        <f>SUMPRODUCT((YEAR(tblClean[Date])=2025)*(MONTH(tblClean[Date])=2)*(tblClean[Category]="Appliances")*tblClean[Total_Amount])</f>
        <v>839.87</v>
      </c>
      <c r="C31" s="29">
        <f>SUMPRODUCT((YEAR(tblClean[Date])=2025)*(MONTH(tblClean[Date])=2)*(tblClean[Category]="Electronics")*tblClean[Total_Amount])</f>
        <v>8229.83</v>
      </c>
      <c r="D31" s="29">
        <f>SUMPRODUCT((YEAR(tblClean[Date])=2025)*(MONTH(tblClean[Date])=2)*(tblClean[Category]="Furniture")*tblClean[Total_Amount])</f>
        <v>6999.68</v>
      </c>
      <c r="E31" s="29">
        <f t="shared" si="0"/>
        <v>16069.380000000001</v>
      </c>
    </row>
    <row r="32" spans="1:5" ht="15" customHeight="1" x14ac:dyDescent="0.35">
      <c r="A32" s="28" t="s">
        <v>488</v>
      </c>
      <c r="B32" s="29">
        <f>SUMPRODUCT((YEAR(tblClean[Date])=2025)*(MONTH(tblClean[Date])=3)*(tblClean[Category]="Appliances")*tblClean[Total_Amount])</f>
        <v>739.89</v>
      </c>
      <c r="C32" s="29">
        <f>SUMPRODUCT((YEAR(tblClean[Date])=2025)*(MONTH(tblClean[Date])=3)*(tblClean[Category]="Electronics")*tblClean[Total_Amount])</f>
        <v>15709.689999999999</v>
      </c>
      <c r="D32" s="29">
        <f>SUMPRODUCT((YEAR(tblClean[Date])=2025)*(MONTH(tblClean[Date])=3)*(tblClean[Category]="Furniture")*tblClean[Total_Amount])</f>
        <v>3449.8</v>
      </c>
      <c r="E32" s="29">
        <f t="shared" si="0"/>
        <v>19899.379999999997</v>
      </c>
    </row>
    <row r="33" spans="1:12" ht="15" customHeight="1" x14ac:dyDescent="0.35">
      <c r="A33" s="28" t="s">
        <v>489</v>
      </c>
      <c r="B33" s="29">
        <f>SUMPRODUCT((YEAR(tblClean[Date])=2025)*(MONTH(tblClean[Date])=4)*(tblClean[Category]="Appliances")*tblClean[Total_Amount])</f>
        <v>239.97</v>
      </c>
      <c r="C33" s="29">
        <f>SUMPRODUCT((YEAR(tblClean[Date])=2025)*(MONTH(tblClean[Date])=4)*(tblClean[Category]="Electronics")*tblClean[Total_Amount])</f>
        <v>6739.86</v>
      </c>
      <c r="D33" s="29">
        <f>SUMPRODUCT((YEAR(tblClean[Date])=2025)*(MONTH(tblClean[Date])=4)*(tblClean[Category]="Furniture")*tblClean[Total_Amount])</f>
        <v>0</v>
      </c>
      <c r="E33" s="29">
        <f t="shared" si="0"/>
        <v>6979.83</v>
      </c>
    </row>
    <row r="34" spans="1:12" ht="15" customHeight="1" x14ac:dyDescent="0.35">
      <c r="A34" s="30" t="s">
        <v>475</v>
      </c>
      <c r="B34" s="31">
        <f>SUM(B21:B33)</f>
        <v>8338.74</v>
      </c>
      <c r="C34" s="31">
        <f>SUM(C21:C33)</f>
        <v>171756.04999999996</v>
      </c>
      <c r="D34" s="31">
        <f>SUM(D21:D33)</f>
        <v>49097.680000000008</v>
      </c>
      <c r="E34" s="31">
        <f>SUM(E21:E33)</f>
        <v>229192.46999999994</v>
      </c>
    </row>
    <row r="35" spans="1:12" ht="15" customHeight="1" x14ac:dyDescent="0.35"/>
    <row r="36" spans="1:12" ht="15" customHeight="1" x14ac:dyDescent="0.35"/>
    <row r="37" spans="1:12" ht="15" customHeight="1" x14ac:dyDescent="0.35"/>
    <row r="38" spans="1:12" ht="15" customHeight="1" x14ac:dyDescent="0.35">
      <c r="A38" s="85" t="s">
        <v>490</v>
      </c>
      <c r="B38" s="68"/>
      <c r="C38" s="68"/>
      <c r="E38" s="85" t="s">
        <v>491</v>
      </c>
      <c r="F38" s="68"/>
      <c r="G38" s="68"/>
      <c r="H38" s="68"/>
      <c r="I38" s="68"/>
      <c r="J38" s="68"/>
      <c r="K38" s="68"/>
      <c r="L38" s="68"/>
    </row>
    <row r="39" spans="1:12" ht="14.25" customHeight="1" x14ac:dyDescent="0.35">
      <c r="A39" s="33" t="s">
        <v>22</v>
      </c>
      <c r="B39" s="33" t="s">
        <v>474</v>
      </c>
      <c r="C39" s="33" t="s">
        <v>492</v>
      </c>
      <c r="E39" s="27" t="s">
        <v>493</v>
      </c>
      <c r="F39" s="27" t="s">
        <v>38</v>
      </c>
      <c r="G39" s="27" t="s">
        <v>42</v>
      </c>
      <c r="H39" s="27" t="s">
        <v>66</v>
      </c>
      <c r="I39" s="27" t="s">
        <v>494</v>
      </c>
      <c r="J39" s="27" t="s">
        <v>475</v>
      </c>
    </row>
    <row r="40" spans="1:12" ht="14.25" customHeight="1" x14ac:dyDescent="0.35">
      <c r="A40" s="7" t="s">
        <v>95</v>
      </c>
      <c r="B40" s="9">
        <f>SUMIFS(tblClean[Total_Amount],tblClean[Customer_Name],$A40)</f>
        <v>15659.65</v>
      </c>
      <c r="C40" s="7">
        <f>COUNTIFS(tblClean[Customer_Name],$A40)</f>
        <v>12</v>
      </c>
      <c r="E40" s="28" t="s">
        <v>10</v>
      </c>
      <c r="F40" s="29">
        <f>SUMIFS(tblClean[Total_Amount],tblClean[Customer_Segment],$E40,tblClean[Payment_Method],F$39)</f>
        <v>15199.439999999995</v>
      </c>
      <c r="G40" s="29">
        <f>SUMIFS(tblClean[Total_Amount],tblClean[Customer_Segment],$E40,tblClean[Payment_Method],G$39)</f>
        <v>16009.359999999997</v>
      </c>
      <c r="H40" s="29">
        <f>SUMIFS(tblClean[Total_Amount],tblClean[Customer_Segment],$E40,tblClean[Payment_Method],H$39)</f>
        <v>9839.57</v>
      </c>
      <c r="I40" s="29">
        <f>SUMIFS(tblClean[Total_Amount],tblClean[Customer_Segment],$E40,tblClean[Payment_Method],I$39)</f>
        <v>21129.439999999999</v>
      </c>
      <c r="J40" s="29">
        <f>SUM(F40:I40)</f>
        <v>62177.81</v>
      </c>
    </row>
    <row r="41" spans="1:12" ht="15" customHeight="1" x14ac:dyDescent="0.35">
      <c r="A41" s="7" t="s">
        <v>132</v>
      </c>
      <c r="B41" s="9">
        <f>SUMIFS(tblClean[Total_Amount],tblClean[Customer_Name],$A41)</f>
        <v>11919.769999999999</v>
      </c>
      <c r="C41" s="7">
        <f>COUNTIFS(tblClean[Customer_Name],$A41)</f>
        <v>6</v>
      </c>
      <c r="E41" s="28" t="s">
        <v>14</v>
      </c>
      <c r="F41" s="29">
        <f>SUMIFS(tblClean[Total_Amount],tblClean[Customer_Segment],$E41,tblClean[Payment_Method],F$39)</f>
        <v>21279.32</v>
      </c>
      <c r="G41" s="29">
        <f>SUMIFS(tblClean[Total_Amount],tblClean[Customer_Segment],$E41,tblClean[Payment_Method],G$39)</f>
        <v>21129.370000000003</v>
      </c>
      <c r="H41" s="29">
        <f>SUMIFS(tblClean[Total_Amount],tblClean[Customer_Segment],$E41,tblClean[Payment_Method],H$39)</f>
        <v>23849.279999999995</v>
      </c>
      <c r="I41" s="29">
        <f>SUMIFS(tblClean[Total_Amount],tblClean[Customer_Segment],$E41,tblClean[Payment_Method],I$39)</f>
        <v>16099.569999999998</v>
      </c>
      <c r="J41" s="29">
        <f>SUM(F41:I41)</f>
        <v>82357.539999999994</v>
      </c>
    </row>
    <row r="42" spans="1:12" ht="15" customHeight="1" x14ac:dyDescent="0.35">
      <c r="A42" s="7" t="s">
        <v>105</v>
      </c>
      <c r="B42" s="9">
        <f>SUMIFS(tblClean[Total_Amount],tblClean[Customer_Name],$A42)</f>
        <v>10649.8</v>
      </c>
      <c r="C42" s="7">
        <f>COUNTIFS(tblClean[Customer_Name],$A42)</f>
        <v>5</v>
      </c>
      <c r="E42" s="28" t="s">
        <v>17</v>
      </c>
      <c r="F42" s="29">
        <f>SUMIFS(tblClean[Total_Amount],tblClean[Customer_Segment],$E42,tblClean[Payment_Method],F$39)</f>
        <v>20949.030000000002</v>
      </c>
      <c r="G42" s="29">
        <f>SUMIFS(tblClean[Total_Amount],tblClean[Customer_Segment],$E42,tblClean[Payment_Method],G$39)</f>
        <v>24309.229999999996</v>
      </c>
      <c r="H42" s="29">
        <f>SUMIFS(tblClean[Total_Amount],tblClean[Customer_Segment],$E42,tblClean[Payment_Method],H$39)</f>
        <v>18429.460000000003</v>
      </c>
      <c r="I42" s="29">
        <f>SUMIFS(tblClean[Total_Amount],tblClean[Customer_Segment],$E42,tblClean[Payment_Method],I$39)</f>
        <v>20969.399999999998</v>
      </c>
      <c r="J42" s="29">
        <f>SUM(F42:I42)</f>
        <v>84657.12</v>
      </c>
    </row>
    <row r="43" spans="1:12" ht="15" customHeight="1" x14ac:dyDescent="0.35">
      <c r="A43" s="7" t="s">
        <v>108</v>
      </c>
      <c r="B43" s="9">
        <f>SUMIFS(tblClean[Total_Amount],tblClean[Customer_Name],$A43)</f>
        <v>9799.73</v>
      </c>
      <c r="C43" s="7">
        <f>COUNTIFS(tblClean[Customer_Name],$A43)</f>
        <v>8</v>
      </c>
      <c r="E43" s="30" t="s">
        <v>475</v>
      </c>
      <c r="F43" s="31">
        <f>SUM(F40:F42)</f>
        <v>57427.789999999994</v>
      </c>
      <c r="G43" s="31">
        <f>SUM(G40:G42)</f>
        <v>61447.959999999992</v>
      </c>
      <c r="H43" s="31">
        <f>SUM(H40:H42)</f>
        <v>52118.31</v>
      </c>
      <c r="I43" s="31">
        <f>SUM(I40:I42)</f>
        <v>58198.409999999989</v>
      </c>
      <c r="J43" s="31">
        <f>SUM(J40:J42)</f>
        <v>229192.46999999997</v>
      </c>
    </row>
    <row r="44" spans="1:12" ht="15" customHeight="1" x14ac:dyDescent="0.35">
      <c r="A44" s="7" t="s">
        <v>35</v>
      </c>
      <c r="B44" s="9">
        <f>SUMIFS(tblClean[Total_Amount],tblClean[Customer_Name],$A44)</f>
        <v>8309.739999999998</v>
      </c>
      <c r="C44" s="7">
        <f>COUNTIFS(tblClean[Customer_Name],$A44)</f>
        <v>8</v>
      </c>
    </row>
    <row r="45" spans="1:12" ht="15" customHeight="1" x14ac:dyDescent="0.35">
      <c r="A45" s="7" t="s">
        <v>59</v>
      </c>
      <c r="B45" s="9">
        <f>SUMIFS(tblClean[Total_Amount],tblClean[Customer_Name],$A45)</f>
        <v>8269.7900000000009</v>
      </c>
      <c r="C45" s="7">
        <f>COUNTIFS(tblClean[Customer_Name],$A45)</f>
        <v>6</v>
      </c>
    </row>
    <row r="46" spans="1:12" ht="15" customHeight="1" x14ac:dyDescent="0.35">
      <c r="A46" s="7" t="s">
        <v>74</v>
      </c>
      <c r="B46" s="9">
        <f>SUMIFS(tblClean[Total_Amount],tblClean[Customer_Name],$A46)</f>
        <v>8009.7699999999995</v>
      </c>
      <c r="C46" s="7">
        <f>COUNTIFS(tblClean[Customer_Name],$A46)</f>
        <v>8</v>
      </c>
    </row>
    <row r="47" spans="1:12" ht="14.25" customHeight="1" x14ac:dyDescent="0.35">
      <c r="A47" s="7" t="s">
        <v>156</v>
      </c>
      <c r="B47" s="9">
        <f>SUMIFS(tblClean[Total_Amount],tblClean[Customer_Name],$A47)</f>
        <v>7309.7999999999993</v>
      </c>
      <c r="C47" s="7">
        <f>COUNTIFS(tblClean[Customer_Name],$A47)</f>
        <v>7</v>
      </c>
    </row>
    <row r="48" spans="1:12" ht="14.25" customHeight="1" x14ac:dyDescent="0.35">
      <c r="A48" s="7" t="s">
        <v>235</v>
      </c>
      <c r="B48" s="9">
        <f>SUMIFS(tblClean[Total_Amount],tblClean[Customer_Name],$A48)</f>
        <v>6989.7699999999986</v>
      </c>
      <c r="C48" s="7">
        <f>COUNTIFS(tblClean[Customer_Name],$A48)</f>
        <v>8</v>
      </c>
    </row>
    <row r="49" spans="1:3" ht="14.25" customHeight="1" x14ac:dyDescent="0.35">
      <c r="A49" s="7" t="s">
        <v>41</v>
      </c>
      <c r="B49" s="9">
        <f>SUMIFS(tblClean[Total_Amount],tblClean[Customer_Name],$A49)</f>
        <v>6949.84</v>
      </c>
      <c r="C49" s="7">
        <f>COUNTIFS(tblClean[Customer_Name],$A49)</f>
        <v>5</v>
      </c>
    </row>
  </sheetData>
  <mergeCells count="4">
    <mergeCell ref="A1:C1"/>
    <mergeCell ref="A38:C38"/>
    <mergeCell ref="E38:L38"/>
    <mergeCell ref="A19:E19"/>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Dashboard Resources</vt:lpstr>
      <vt:lpstr>Raw_Data</vt:lpstr>
      <vt:lpstr>Data_Cleaning</vt:lpstr>
      <vt:lpstr>Analysis</vt:lpstr>
      <vt:lpstr>WhatIf</vt:lpstr>
      <vt:lpstr>PivotTables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 Dhameliya</dc:creator>
  <cp:lastModifiedBy>HP</cp:lastModifiedBy>
  <cp:revision>4</cp:revision>
  <dcterms:created xsi:type="dcterms:W3CDTF">2026-09-18T21:49:48Z</dcterms:created>
  <dcterms:modified xsi:type="dcterms:W3CDTF">2026-09-19T13:02:19Z</dcterms:modified>
  <dc:language>en-US</dc:language>
</cp:coreProperties>
</file>