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7" autoFilterDateGrouping="1"/>
  </bookViews>
  <sheets>
    <sheet xmlns:r="http://schemas.openxmlformats.org/officeDocument/2006/relationships" name="Dash 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ustomer summary" sheetId="3" state="visible" r:id="rId3"/>
    <sheet xmlns:r="http://schemas.openxmlformats.org/officeDocument/2006/relationships" name="What if" sheetId="4" state="visible" r:id="rId4"/>
    <sheet xmlns:r="http://schemas.openxmlformats.org/officeDocument/2006/relationships" name="Monthly sales" sheetId="5" state="visible" r:id="rId5"/>
    <sheet xmlns:r="http://schemas.openxmlformats.org/officeDocument/2006/relationships" name="Descriptive satistics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Pivot Table" sheetId="8" state="visible" r:id="rId8"/>
  </sheets>
  <externalReferences>
    <externalReference xmlns:r="http://schemas.openxmlformats.org/officeDocument/2006/relationships" r:id="rId10"/>
  </externalReferences>
  <definedNames/>
  <calcPr calcId="191029" fullCalcOnLoad="1"/>
  <pivotCaches>
    <pivotCache xmlns:r="http://schemas.openxmlformats.org/officeDocument/2006/relationships" cacheId="0" r:id="rId9"/>
  </pivotCaches>
</workbook>
</file>

<file path=xl/styles.xml><?xml version="1.0" encoding="utf-8"?>
<styleSheet xmlns="http://schemas.openxmlformats.org/spreadsheetml/2006/main">
  <numFmts count="6">
    <numFmt numFmtId="164" formatCode="[$$-45C]#,##0.00"/>
    <numFmt numFmtId="165" formatCode="[$$-2809]#,##0.00"/>
    <numFmt numFmtId="166" formatCode="\$#,##0.00"/>
    <numFmt numFmtId="167" formatCode="\$#,##0.00;[Red]&quot;-$&quot;#,##0.00"/>
    <numFmt numFmtId="168" formatCode="$#,##0.00"/>
    <numFmt numFmtId="169" formatCode="0.0%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22"/>
      <scheme val="minor"/>
    </font>
    <font>
      <name val="Calibri"/>
      <family val="2"/>
      <color theme="4" tint="0.3999755851924192"/>
      <sz val="48"/>
      <scheme val="minor"/>
    </font>
    <font>
      <name val="Arial"/>
      <family val="2"/>
      <b val="1"/>
      <color theme="1"/>
      <sz val="20"/>
    </font>
    <font>
      <name val="Calibri"/>
      <family val="2"/>
      <b val="1"/>
      <color theme="1"/>
      <sz val="22"/>
      <scheme val="minor"/>
    </font>
    <font>
      <name val="Arial"/>
      <family val="2"/>
      <sz val="11"/>
    </font>
    <font>
      <name val="Arial"/>
      <family val="2"/>
      <b val="1"/>
      <color rgb="FF000000"/>
      <sz val="11"/>
    </font>
    <font>
      <name val="Arial"/>
      <family val="2"/>
      <sz val="10"/>
    </font>
    <font>
      <name val="Calibri"/>
      <family val="2"/>
      <color theme="4" tint="0.3999755851924192"/>
      <sz val="22"/>
      <scheme val="minor"/>
    </font>
    <font>
      <name val="Calibri"/>
      <family val="2"/>
      <color theme="4" tint="0.3999755851924192"/>
      <sz val="28"/>
      <scheme val="minor"/>
    </font>
    <font>
      <name val="Arial"/>
      <family val="2"/>
      <b val="1"/>
      <sz val="11"/>
    </font>
    <font>
      <name val="Calibri"/>
      <family val="2"/>
      <i val="1"/>
      <color theme="1"/>
      <sz val="11"/>
      <scheme val="minor"/>
    </font>
    <font>
      <name val="Segoe UI"/>
      <b val="1"/>
      <color rgb="001F4E79"/>
      <sz val="18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b val="1"/>
      <color rgb="00FFFFFF"/>
      <sz val="20"/>
    </font>
    <font>
      <name val="Segoe UI"/>
      <i val="1"/>
      <color rgb="00E0E0E0"/>
      <sz val="9"/>
    </font>
    <font>
      <name val="Segoe UI"/>
      <b val="1"/>
      <color rgb="00FFFFFF"/>
      <sz val="10"/>
    </font>
    <font>
      <name val="Segoe UI"/>
      <sz val="9"/>
    </font>
  </fonts>
  <fills count="12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D9E1F2"/>
        <bgColor rgb="FFDDEBF7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001F77B4"/>
        <bgColor rgb="001F77B4"/>
      </patternFill>
    </fill>
    <fill>
      <patternFill patternType="solid">
        <fgColor rgb="002CA02C"/>
        <bgColor rgb="002CA02C"/>
      </patternFill>
    </fill>
    <fill>
      <patternFill patternType="solid">
        <fgColor rgb="00FF7F0E"/>
        <bgColor rgb="00FF7F0E"/>
      </patternFill>
    </fill>
    <fill>
      <patternFill patternType="solid">
        <fgColor rgb="002E75B6"/>
        <bgColor rgb="002E75B6"/>
      </patternFill>
    </fill>
    <fill>
      <patternFill patternType="solid">
        <fgColor rgb="00F2F5F8"/>
        <bgColor rgb="00F2F5F8"/>
      </patternFill>
    </fill>
    <fill>
      <patternFill patternType="solid">
        <fgColor rgb="001F4E79"/>
        <bgColor rgb="001F4E79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right" wrapText="1"/>
    </xf>
    <xf numFmtId="14" fontId="0" fillId="0" borderId="1" applyAlignment="1" pivotButton="0" quotePrefix="0" xfId="0">
      <alignment horizontal="right"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horizontal="right"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8" applyAlignment="1" pivotButton="0" quotePrefix="0" xfId="0">
      <alignment horizontal="right" wrapText="1"/>
    </xf>
    <xf numFmtId="14" fontId="0" fillId="0" borderId="8" applyAlignment="1" pivotButton="0" quotePrefix="0" xfId="0">
      <alignment horizontal="right" wrapText="1"/>
    </xf>
    <xf numFmtId="0" fontId="0" fillId="0" borderId="9" applyAlignment="1" pivotButton="0" quotePrefix="0" xfId="0">
      <alignment horizontal="right" wrapText="1"/>
    </xf>
    <xf numFmtId="22" fontId="0" fillId="0" borderId="5" applyAlignment="1" pivotButton="0" quotePrefix="0" xfId="0">
      <alignment horizontal="right" wrapText="1"/>
    </xf>
    <xf numFmtId="22" fontId="0" fillId="0" borderId="1" applyAlignment="1" pivotButton="0" quotePrefix="0" xfId="0">
      <alignment horizontal="right" wrapText="1"/>
    </xf>
    <xf numFmtId="22" fontId="0" fillId="0" borderId="8" applyAlignment="1" pivotButton="0" quotePrefix="0" xfId="0">
      <alignment horizontal="right" wrapText="1"/>
    </xf>
    <xf numFmtId="17" fontId="0" fillId="0" borderId="0" applyAlignment="1" pivotButton="0" quotePrefix="0" xfId="0">
      <alignment horizontal="right" wrapText="1"/>
    </xf>
    <xf numFmtId="0" fontId="4" fillId="0" borderId="0" pivotButton="0" quotePrefix="0" xfId="0"/>
    <xf numFmtId="0" fontId="1" fillId="0" borderId="10" applyAlignment="1" pivotButton="0" quotePrefix="0" xfId="0">
      <alignment horizontal="center"/>
    </xf>
    <xf numFmtId="9" fontId="0" fillId="0" borderId="10" applyAlignment="1" pivotButton="0" quotePrefix="0" xfId="0">
      <alignment horizontal="center"/>
    </xf>
    <xf numFmtId="164" fontId="0" fillId="0" borderId="10" applyAlignment="1" pivotButton="0" quotePrefix="0" xfId="0">
      <alignment horizontal="center"/>
    </xf>
    <xf numFmtId="10" fontId="0" fillId="0" borderId="10" applyAlignment="1" pivotButton="0" quotePrefix="0" xfId="0">
      <alignment horizontal="center"/>
    </xf>
    <xf numFmtId="165" fontId="0" fillId="0" borderId="10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8" fillId="3" borderId="11" applyAlignment="1" pivotButton="0" quotePrefix="0" xfId="0">
      <alignment horizontal="center" vertical="center" wrapText="1"/>
    </xf>
    <xf numFmtId="9" fontId="9" fillId="0" borderId="11" pivotButton="0" quotePrefix="0" xfId="0"/>
    <xf numFmtId="166" fontId="9" fillId="0" borderId="11" pivotButton="0" quotePrefix="0" xfId="0"/>
    <xf numFmtId="167" fontId="9" fillId="0" borderId="11" pivotButton="0" quotePrefix="0" xfId="0"/>
    <xf numFmtId="0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10" fillId="5" borderId="0" pivotButton="0" quotePrefix="0" xfId="0"/>
    <xf numFmtId="0" fontId="0" fillId="0" borderId="10" pivotButton="0" quotePrefix="0" xfId="0"/>
    <xf numFmtId="0" fontId="1" fillId="0" borderId="10" pivotButton="0" quotePrefix="0" xfId="0"/>
    <xf numFmtId="17" fontId="0" fillId="0" borderId="10" pivotButton="0" quotePrefix="0" xfId="0"/>
    <xf numFmtId="10" fontId="0" fillId="0" borderId="1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1" fillId="5" borderId="0" pivotButton="0" quotePrefix="0" xfId="0"/>
    <xf numFmtId="0" fontId="5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12" fillId="0" borderId="10" applyAlignment="1" pivotButton="0" quotePrefix="0" xfId="0">
      <alignment horizontal="left"/>
    </xf>
    <xf numFmtId="2" fontId="0" fillId="0" borderId="10" applyAlignment="1" pivotButton="0" quotePrefix="0" xfId="0">
      <alignment horizontal="left"/>
    </xf>
    <xf numFmtId="10" fontId="0" fillId="0" borderId="10" applyAlignment="1" pivotButton="0" quotePrefix="0" xfId="0">
      <alignment horizontal="left"/>
    </xf>
    <xf numFmtId="0" fontId="13" fillId="0" borderId="10" applyAlignment="1" pivotButton="0" quotePrefix="0" xfId="0">
      <alignment horizontal="centerContinuous"/>
    </xf>
    <xf numFmtId="0" fontId="0" fillId="0" borderId="10" pivotButton="0" quotePrefix="0" xfId="0"/>
    <xf numFmtId="0" fontId="13" fillId="0" borderId="1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8" fontId="17" fillId="6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center" vertical="center"/>
    </xf>
    <xf numFmtId="168" fontId="17" fillId="7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169" fontId="17" fillId="8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center" vertical="center"/>
    </xf>
    <xf numFmtId="0" fontId="20" fillId="10" borderId="18" applyAlignment="1" pivotButton="0" quotePrefix="0" xfId="0">
      <alignment horizontal="left" vertical="center"/>
    </xf>
    <xf numFmtId="0" fontId="0" fillId="0" borderId="18" pivotButton="0" quotePrefix="0" xfId="0"/>
    <xf numFmtId="0" fontId="19" fillId="11" borderId="0" applyAlignment="1" pivotButton="0" quotePrefix="0" xfId="0">
      <alignment horizontal="center"/>
    </xf>
    <xf numFmtId="0" fontId="20" fillId="0" borderId="18" pivotButton="0" quotePrefix="0" xfId="0"/>
    <xf numFmtId="168" fontId="20" fillId="0" borderId="18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/>
  </cellStyles>
  <dxfs count="17">
    <dxf>
      <font>
        <name val="Arial"/>
        <charset val="1"/>
        <b val="1"/>
      </font>
      <fill>
        <patternFill>
          <bgColor rgb="FFFFF2CC"/>
        </patternFill>
      </fill>
    </dxf>
    <dxf>
      <numFmt numFmtId="19" formatCode="dd/mm/yyyy"/>
      <alignment horizontal="right" vertical="bottom" wrapText="1"/>
    </dxf>
    <dxf>
      <numFmt numFmtId="168" formatCode="dd/mm/yyyy\ hh:mm"/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wrapText="1"/>
      <border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wrapText="1"/>
      <border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right" vertical="bottom" wrapText="1"/>
    </dxf>
    <dxf>
      <border outline="0">
        <bottom style="medium">
          <color rgb="FFCCCCCC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  <border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pivotCacheDefinition" Target="/xl/pivotCache/pivotCacheDefinition1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 board'!C19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 board'!$B$20:$B$24</f>
            </numRef>
          </cat>
          <val>
            <numRef>
              <f>'Dash board'!$C$20:$C$24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 board'!G19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 board'!$F$20:$F$24</f>
            </numRef>
          </cat>
          <val>
            <numRef>
              <f>'Dash board'!$G$20:$G$24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Customers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 board'!K19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 board'!$J$20:$J$24</f>
            </numRef>
          </cat>
          <val>
            <numRef>
              <f>'Dash board'!$K$20:$K$24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Purchase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Name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 Performance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sales'!$A$4:$A$16</f>
            </numRef>
          </cat>
          <val>
            <numRef>
              <f>'Monthly sales'!$B$4:$B$16</f>
            </numRef>
          </val>
        </ser>
        <ser>
          <idx val="1"/>
          <order val="1"/>
          <tx>
            <strRef>
              <f>'Monthly sales'!C3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sales'!$A$4:$A$16</f>
            </numRef>
          </cat>
          <val>
            <numRef>
              <f>'Monthly sales'!$C$4:$C$16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500" b="1" i="0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9335870516185477"/>
          <y val="0.1168792891714224"/>
          <w val="0.8649746281714785"/>
          <h val="0.619595363079615"/>
        </manualLayout>
      </layout>
      <lineChart>
        <grouping val="standard"/>
        <varyColors val="0"/>
        <ser>
          <idx val="0"/>
          <order val="0"/>
          <tx>
            <strRef>
              <f>[1]MonthlySales!$B$4</f>
              <strCache>
                <ptCount val="1"/>
                <pt idx="0">
                  <v>Total Sales</v>
                </pt>
              </strCache>
            </strRef>
          </tx>
          <spPr>
            <a:ln xmlns:a="http://schemas.openxmlformats.org/drawingml/2006/main" w="34925" cap="rnd">
              <a:solidFill>
                <a:schemeClr val="l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[1]MonthlySales!$A$5:$A$17</f>
              <numCache>
                <formatCode>General</formatCode>
                <ptCount val="13"/>
                <pt idx="0">
                  <v>45383</v>
                </pt>
                <pt idx="1">
                  <v>45413</v>
                </pt>
                <pt idx="2">
                  <v>45444</v>
                </pt>
                <pt idx="3">
                  <v>45474</v>
                </pt>
                <pt idx="4">
                  <v>45505</v>
                </pt>
                <pt idx="5">
                  <v>45536</v>
                </pt>
                <pt idx="6">
                  <v>45566</v>
                </pt>
                <pt idx="7">
                  <v>45597</v>
                </pt>
                <pt idx="8">
                  <v>45627</v>
                </pt>
                <pt idx="9">
                  <v>45658</v>
                </pt>
                <pt idx="10">
                  <v>45689</v>
                </pt>
                <pt idx="11">
                  <v>45717</v>
                </pt>
                <pt idx="12">
                  <v>45748</v>
                </pt>
              </numCache>
            </numRef>
          </cat>
          <val>
            <numRef>
              <f>[1]MonthlySales!$B$5:$B$17</f>
              <numCache>
                <formatCode>General</formatCode>
                <ptCount val="13"/>
                <pt idx="1">
                  <v>18507.34</v>
                </pt>
                <pt idx="2">
                  <v>20187.51</v>
                </pt>
                <pt idx="3">
                  <v>11609.04</v>
                </pt>
                <pt idx="4">
                  <v>10091.7</v>
                </pt>
                <pt idx="5">
                  <v>20533.5</v>
                </pt>
                <pt idx="6">
                  <v>14215.24</v>
                </pt>
                <pt idx="7">
                  <v>20135.03</v>
                </pt>
                <pt idx="8">
                  <v>11120.04</v>
                </pt>
                <pt idx="9">
                  <v>14914.65</v>
                </pt>
                <pt idx="10">
                  <v>14006.36</v>
                </pt>
                <pt idx="11">
                  <v>17655.22</v>
                </pt>
                <pt idx="12">
                  <v>3212.17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dropLines>
          <spPr>
            <a:ln xmlns:a="http://schemas.openxmlformats.org/drawingml/2006/main"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dropLines>
        <smooth val="0"/>
        <axId val="664156639"/>
        <axId val="1156458799"/>
      </lineChart>
      <catAx>
        <axId val="66415663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56458799"/>
        <crosses val="autoZero"/>
        <auto val="1"/>
        <lblAlgn val="ctr"/>
        <lblOffset val="100"/>
        <noMultiLvlLbl val="1"/>
      </catAx>
      <valAx>
        <axId val="115645879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6415663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accent1"/>
    </a:solidFill>
    <a:ln xmlns:a="http://schemas.openxmlformats.org/drawingml/2006/main" w="9525" cap="flat" cmpd="sng" algn="ctr">
      <a:solidFill>
        <a:schemeClr val="accent1"/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[PR2.xlsx]Pivot Table!PivotTable1</name>
    <fmtId val="5"/>
  </pivotSource>
  <chart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'Pivot Table'!$B$6:$B$7</f>
              <strCache>
                <ptCount val="1"/>
                <pt idx="0">
                  <v>Central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'Pivot Table'!$A$8:$A$13</f>
              <strCache>
                <ptCount val="5"/>
                <pt idx="0">
                  <v>Books</v>
                </pt>
                <pt idx="1">
                  <v>Clothing</v>
                </pt>
                <pt idx="2">
                  <v>Electronics</v>
                </pt>
                <pt idx="3">
                  <v>Furniture</v>
                </pt>
                <pt idx="4">
                  <v>Office Supplies</v>
                </pt>
              </strCache>
            </strRef>
          </cat>
          <val>
            <numRef>
              <f>'Pivot Table'!$B$8:$B$13</f>
              <numCache>
                <formatCode>General</formatCode>
                <ptCount val="5"/>
                <pt idx="0">
                  <v>11297.15</v>
                </pt>
                <pt idx="1">
                  <v>12200.26</v>
                </pt>
                <pt idx="2">
                  <v>6621.24</v>
                </pt>
                <pt idx="3">
                  <v>4876.96</v>
                </pt>
                <pt idx="4">
                  <v>8472.719999999999</v>
                </pt>
              </numCache>
            </numRef>
          </val>
        </ser>
        <ser>
          <idx val="1"/>
          <order val="1"/>
          <tx>
            <strRef>
              <f>'Pivot Table'!$C$6:$C$7</f>
              <strCache>
                <ptCount val="1"/>
                <pt idx="0">
                  <v>East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'Pivot Table'!$A$8:$A$13</f>
              <strCache>
                <ptCount val="5"/>
                <pt idx="0">
                  <v>Books</v>
                </pt>
                <pt idx="1">
                  <v>Clothing</v>
                </pt>
                <pt idx="2">
                  <v>Electronics</v>
                </pt>
                <pt idx="3">
                  <v>Furniture</v>
                </pt>
                <pt idx="4">
                  <v>Office Supplies</v>
                </pt>
              </strCache>
            </strRef>
          </cat>
          <val>
            <numRef>
              <f>'Pivot Table'!$C$8:$C$13</f>
              <numCache>
                <formatCode>General</formatCode>
                <ptCount val="5"/>
                <pt idx="0">
                  <v>11389.09</v>
                </pt>
                <pt idx="1">
                  <v>2401.45</v>
                </pt>
                <pt idx="2">
                  <v>2869.54</v>
                </pt>
                <pt idx="3">
                  <v>7592.339999999999</v>
                </pt>
                <pt idx="4">
                  <v>8189.220000000001</v>
                </pt>
              </numCache>
            </numRef>
          </val>
        </ser>
        <ser>
          <idx val="2"/>
          <order val="2"/>
          <tx>
            <strRef>
              <f>'Pivot Table'!$D$6:$D$7</f>
              <strCache>
                <ptCount val="1"/>
                <pt idx="0">
                  <v>North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'Pivot Table'!$A$8:$A$13</f>
              <strCache>
                <ptCount val="5"/>
                <pt idx="0">
                  <v>Books</v>
                </pt>
                <pt idx="1">
                  <v>Clothing</v>
                </pt>
                <pt idx="2">
                  <v>Electronics</v>
                </pt>
                <pt idx="3">
                  <v>Furniture</v>
                </pt>
                <pt idx="4">
                  <v>Office Supplies</v>
                </pt>
              </strCache>
            </strRef>
          </cat>
          <val>
            <numRef>
              <f>'Pivot Table'!$D$8:$D$13</f>
              <numCache>
                <formatCode>General</formatCode>
                <ptCount val="5"/>
                <pt idx="0">
                  <v>8037.010000000001</v>
                </pt>
                <pt idx="1">
                  <v>8422.82</v>
                </pt>
                <pt idx="2">
                  <v>8191.709999999999</v>
                </pt>
                <pt idx="3">
                  <v>6978.08</v>
                </pt>
                <pt idx="4">
                  <v>3345.8</v>
                </pt>
              </numCache>
            </numRef>
          </val>
        </ser>
        <ser>
          <idx val="3"/>
          <order val="3"/>
          <tx>
            <strRef>
              <f>'Pivot Table'!$E$6:$E$7</f>
              <strCache>
                <ptCount val="1"/>
                <pt idx="0">
                  <v>South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4">
                    <a:tint val="94000"/>
                    <a:satMod val="103000"/>
                    <a:lumMod val="102000"/>
                  </a:schemeClr>
                </a:gs>
                <a:gs pos="50000">
                  <a:schemeClr val="accent4">
                    <a:shade val="100000"/>
                    <a:satMod val="110000"/>
                    <a:lumMod val="100000"/>
                  </a:schemeClr>
                </a:gs>
                <a:gs pos="100000">
                  <a:schemeClr val="accent4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'Pivot Table'!$A$8:$A$13</f>
              <strCache>
                <ptCount val="5"/>
                <pt idx="0">
                  <v>Books</v>
                </pt>
                <pt idx="1">
                  <v>Clothing</v>
                </pt>
                <pt idx="2">
                  <v>Electronics</v>
                </pt>
                <pt idx="3">
                  <v>Furniture</v>
                </pt>
                <pt idx="4">
                  <v>Office Supplies</v>
                </pt>
              </strCache>
            </strRef>
          </cat>
          <val>
            <numRef>
              <f>'Pivot Table'!$E$8:$E$13</f>
              <numCache>
                <formatCode>General</formatCode>
                <ptCount val="5"/>
                <pt idx="0">
                  <v>9588.040000000001</v>
                </pt>
                <pt idx="1">
                  <v>8393.630000000001</v>
                </pt>
                <pt idx="2">
                  <v>11989.07</v>
                </pt>
                <pt idx="3">
                  <v>7982.73</v>
                </pt>
                <pt idx="4">
                  <v>2295.32</v>
                </pt>
              </numCache>
            </numRef>
          </val>
        </ser>
        <ser>
          <idx val="4"/>
          <order val="4"/>
          <tx>
            <strRef>
              <f>'Pivot Table'!$F$6:$F$7</f>
              <strCache>
                <ptCount val="1"/>
                <pt idx="0">
                  <v>West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tint val="94000"/>
                    <a:satMod val="103000"/>
                    <a:lumMod val="102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'Pivot Table'!$A$8:$A$13</f>
              <strCache>
                <ptCount val="5"/>
                <pt idx="0">
                  <v>Books</v>
                </pt>
                <pt idx="1">
                  <v>Clothing</v>
                </pt>
                <pt idx="2">
                  <v>Electronics</v>
                </pt>
                <pt idx="3">
                  <v>Furniture</v>
                </pt>
                <pt idx="4">
                  <v>Office Supplies</v>
                </pt>
              </strCache>
            </strRef>
          </cat>
          <val>
            <numRef>
              <f>'Pivot Table'!$F$8:$F$13</f>
              <numCache>
                <formatCode>General</formatCode>
                <ptCount val="5"/>
                <pt idx="0">
                  <v>6691.17</v>
                </pt>
                <pt idx="1">
                  <v>10509.43</v>
                </pt>
                <pt idx="2">
                  <v>11372.44</v>
                </pt>
                <pt idx="3">
                  <v>9182.780000000001</v>
                </pt>
                <pt idx="4">
                  <v>6327.76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875338112"/>
        <axId val="864729808"/>
      </barChart>
      <catAx>
        <axId val="875338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64729808"/>
        <crosses val="autoZero"/>
        <auto val="1"/>
        <lblAlgn val="ctr"/>
        <lblOffset val="100"/>
        <noMultiLvlLbl val="0"/>
      </catAx>
      <valAx>
        <axId val="8647298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7533811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48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25</row>
      <rowOff>0</rowOff>
    </from>
    <ext cx="48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25</row>
      <rowOff>0</rowOff>
    </from>
    <ext cx="486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42</row>
      <rowOff>0</rowOff>
    </from>
    <ext cx="102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>
    <from>
      <col>6</col>
      <colOff>7409</colOff>
      <row>2</row>
      <rowOff>323850</rowOff>
    </from>
    <to>
      <col>13</col>
      <colOff>587205</colOff>
      <row>18</row>
      <rowOff>324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7</col>
      <colOff>282575</colOff>
      <row>0</row>
      <rowOff>342900</rowOff>
    </from>
    <to>
      <col>14</col>
      <colOff>587375</colOff>
      <row>15</row>
      <rowOff>50800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HP\Downloads\PR_2%20(2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data"/>
      <sheetName val="CustomerSummary"/>
      <sheetName val="WhatIf"/>
      <sheetName val="MonthlySales"/>
      <sheetName val="DescriptiveStats"/>
      <sheetName val="Regression"/>
      <sheetName val="PivotTable"/>
      <sheetName val="Dashboard tabal"/>
    </sheetNames>
    <sheetDataSet>
      <sheetData sheetId="0"/>
      <sheetData sheetId="1"/>
      <sheetData sheetId="2"/>
      <sheetData sheetId="3"/>
      <sheetData sheetId="4">
        <row r="4">
          <cell r="B4" t="str">
            <v>Total Sales</v>
          </cell>
        </row>
        <row r="5">
          <cell r="A5">
            <v>45383</v>
          </cell>
        </row>
        <row r="6">
          <cell r="A6">
            <v>45413</v>
          </cell>
          <cell r="B6">
            <v>18507.339999999997</v>
          </cell>
        </row>
        <row r="7">
          <cell r="A7">
            <v>45444</v>
          </cell>
          <cell r="B7">
            <v>20187.509999999998</v>
          </cell>
        </row>
        <row r="8">
          <cell r="A8">
            <v>45474</v>
          </cell>
          <cell r="B8">
            <v>11609.039999999999</v>
          </cell>
        </row>
        <row r="9">
          <cell r="A9">
            <v>45505</v>
          </cell>
          <cell r="B9">
            <v>10091.699999999999</v>
          </cell>
        </row>
        <row r="10">
          <cell r="A10">
            <v>45536</v>
          </cell>
          <cell r="B10">
            <v>20533.499999999996</v>
          </cell>
        </row>
        <row r="11">
          <cell r="A11">
            <v>45566</v>
          </cell>
          <cell r="B11">
            <v>14215.240000000002</v>
          </cell>
        </row>
        <row r="12">
          <cell r="A12">
            <v>45597</v>
          </cell>
          <cell r="B12">
            <v>20135.030000000002</v>
          </cell>
        </row>
        <row r="13">
          <cell r="A13">
            <v>45627</v>
          </cell>
          <cell r="B13">
            <v>11120.04</v>
          </cell>
        </row>
        <row r="14">
          <cell r="A14">
            <v>45658</v>
          </cell>
          <cell r="B14">
            <v>14914.650000000001</v>
          </cell>
        </row>
        <row r="15">
          <cell r="A15">
            <v>45689</v>
          </cell>
          <cell r="B15">
            <v>14006.359999999999</v>
          </cell>
        </row>
        <row r="16">
          <cell r="A16">
            <v>45717</v>
          </cell>
          <cell r="B16">
            <v>17655.219999999998</v>
          </cell>
        </row>
        <row r="17">
          <cell r="A17">
            <v>45748</v>
          </cell>
          <cell r="B17">
            <v>3212.17</v>
          </cell>
        </row>
      </sheetData>
      <sheetData sheetId="5"/>
      <sheetData sheetId="6"/>
      <sheetData sheetId="7"/>
      <sheetData sheetId="8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HP" refreshedDate="46275.87957314815" createdVersion="8" refreshedVersion="8" minRefreshableVersion="3" recordCount="200" r:id="rId1">
  <cacheSource type="worksheet">
    <worksheetSource name="Data"/>
  </cacheSource>
  <cacheFields count="11">
    <cacheField name="Customer_ID" uniqueList="1" numFmtId="0" sqlType="0" hierarchy="0" level="0" databaseField="1">
      <sharedItems count="0"/>
    </cacheField>
    <cacheField name="Customer_Name" uniqueList="1" numFmtId="0" sqlType="0" hierarchy="0" level="0" databaseField="1">
      <sharedItems count="0"/>
    </cacheField>
    <cacheField name="Region" uniqueList="1" numFmtId="0" sqlType="0" hierarchy="0" level="0" databaseField="1">
      <sharedItems count="5">
        <s v="West"/>
        <s v="East"/>
        <s v="South"/>
        <s v="North"/>
        <s v="Central"/>
      </sharedItems>
    </cacheField>
    <cacheField name="Product_Category" uniqueList="1" numFmtId="0" sqlType="0" hierarchy="0" level="0" databaseField="1">
      <sharedItems count="5">
        <s v="Books"/>
        <s v="Clothing"/>
        <s v="Electronics"/>
        <s v="Furniture"/>
        <s v="Office Supplies"/>
      </sharedItems>
    </cacheField>
    <cacheField name="Sales" uniqueList="1" numFmtId="0" sqlType="0" hierarchy="0" level="0" databaseField="1">
      <sharedItems count="0" containsNumber="1" containsSemiMixedTypes="0" containsString="0" minValue="258.51" maxValue="1923.66"/>
    </cacheField>
    <cacheField name="Quantity" uniqueList="1" numFmtId="0" sqlType="0" hierarchy="0" level="0" databaseField="1">
      <sharedItems count="0" containsInteger="1" containsNumber="1" containsSemiMixedTypes="0" containsString="0" minValue="1" maxValue="19"/>
    </cacheField>
    <cacheField name="Discount" uniqueList="1" numFmtId="0" sqlType="0" hierarchy="0" level="0" databaseField="1">
      <sharedItems count="0" containsNumber="1" containsSemiMixedTypes="0" containsString="0" minValue="0" maxValue="0.2"/>
    </cacheField>
    <cacheField name="Order_Date" uniqueList="1" numFmtId="14" sqlType="0" hierarchy="0" level="0" databaseField="1">
      <sharedItems count="0" containsDate="1" containsNonDate="0" containsSemiMixedTypes="0" containsString="0" minDate="2024-04-10T00:00:00" maxDate="2025-04-08T00:00:00"/>
    </cacheField>
    <cacheField name="Profit" uniqueList="1" numFmtId="0" sqlType="0" hierarchy="0" level="0" databaseField="1">
      <sharedItems count="0" containsNumber="1" containsSemiMixedTypes="0" containsString="0" minValue="64.63" maxValue="769.46"/>
    </cacheField>
    <cacheField name="Timestamp" uniqueList="1" numFmtId="22" sqlType="0" hierarchy="0" level="0" databaseField="1">
      <sharedItems count="0" containsDate="1" containsNonDate="0" containsSemiMixedTypes="0" containsString="0" minDate="2026-09-10T21:03:24" maxDate="2026-09-10T21:03:24"/>
    </cacheField>
    <cacheField name="Month" uniqueList="1" numFmtId="17" sqlType="0" hierarchy="0" level="0" databaseField="1">
      <sharedItems count="0" containsDate="1" containsNonDate="0" containsSemiMixedTypes="0" containsString="0" minDate="2024-04-01T00:00:00" maxDate="2025-04-02T00:00:00"/>
    </cacheField>
  </cacheFields>
</pivotCacheDefinition>
</file>

<file path=xl/pivotCache/pivotCacheRecords1.xml><?xml version="1.0" encoding="utf-8"?>
<pivotCacheRecords xmlns="http://schemas.openxmlformats.org/spreadsheetml/2006/main" count="200">
  <r>
    <s v="CUST019"/>
    <s v="James Davis"/>
    <x v="0"/>
    <x v="0"/>
    <n v="1036.09"/>
    <n v="4"/>
    <n v="0.2"/>
    <d v="2024-04-10T00:00:00"/>
    <n v="331.55"/>
    <d v="2026-09-10T21:03:24"/>
    <d v="2024-04-01T00:00:00"/>
  </r>
  <r>
    <s v="CUST012"/>
    <s v="Robert Anderson"/>
    <x v="0"/>
    <x v="1"/>
    <n v="1101.28"/>
    <n v="3"/>
    <n v="0.2"/>
    <d v="2024-04-11T00:00:00"/>
    <n v="440.51"/>
    <d v="2026-09-10T21:03:24"/>
    <d v="2024-04-01T00:00:00"/>
  </r>
  <r>
    <s v="CUST017"/>
    <s v="James Taylor"/>
    <x v="1"/>
    <x v="0"/>
    <n v="713.34"/>
    <n v="17"/>
    <n v="0"/>
    <d v="2024-04-14T00:00:00"/>
    <n v="285.34"/>
    <d v="2026-09-10T21:03:24"/>
    <d v="2024-04-01T00:00:00"/>
  </r>
  <r>
    <s v="CUST005"/>
    <s v="Robert Anderson"/>
    <x v="2"/>
    <x v="2"/>
    <n v="760.9299999999999"/>
    <n v="4"/>
    <n v="0.15"/>
    <d v="2024-04-14T00:00:00"/>
    <n v="161.7"/>
    <d v="2026-09-10T21:03:24"/>
    <d v="2024-04-01T00:00:00"/>
  </r>
  <r>
    <s v="CUST030"/>
    <s v="James Wilson"/>
    <x v="3"/>
    <x v="0"/>
    <n v="847"/>
    <n v="12"/>
    <n v="0.2"/>
    <d v="2024-04-15T00:00:00"/>
    <n v="271.04"/>
    <d v="2026-09-10T21:03:24"/>
    <d v="2024-04-01T00:00:00"/>
  </r>
  <r>
    <s v="CUST007"/>
    <s v="Michael Anderson"/>
    <x v="3"/>
    <x v="3"/>
    <n v="965.64"/>
    <n v="8"/>
    <n v="0.1"/>
    <d v="2024-04-16T00:00:00"/>
    <n v="304.18"/>
    <d v="2026-09-10T21:03:24"/>
    <d v="2024-04-01T00:00:00"/>
  </r>
  <r>
    <s v="CUST001"/>
    <s v="Linda Wilson"/>
    <x v="0"/>
    <x v="2"/>
    <n v="1317.53"/>
    <n v="12"/>
    <n v="0.05"/>
    <d v="2024-04-16T00:00:00"/>
    <n v="312.91"/>
    <d v="2026-09-10T21:03:24"/>
    <d v="2024-04-01T00:00:00"/>
  </r>
  <r>
    <s v="CUST026"/>
    <s v="Mary Davis"/>
    <x v="1"/>
    <x v="3"/>
    <n v="1074.47"/>
    <n v="6"/>
    <n v="0.2"/>
    <d v="2024-04-19T00:00:00"/>
    <n v="300.85"/>
    <d v="2026-09-10T21:03:24"/>
    <d v="2024-04-01T00:00:00"/>
  </r>
  <r>
    <s v="CUST009"/>
    <s v="Linda Jackson"/>
    <x v="4"/>
    <x v="0"/>
    <n v="501.54"/>
    <n v="11"/>
    <n v="0.05"/>
    <d v="2024-04-19T00:00:00"/>
    <n v="190.59"/>
    <d v="2026-09-10T21:03:24"/>
    <d v="2024-04-01T00:00:00"/>
  </r>
  <r>
    <s v="CUST010"/>
    <s v="David Thomas"/>
    <x v="4"/>
    <x v="1"/>
    <n v="737.3099999999999"/>
    <n v="2"/>
    <n v="0.05"/>
    <d v="2024-04-19T00:00:00"/>
    <n v="350.22"/>
    <d v="2026-09-10T21:03:24"/>
    <d v="2024-04-01T00:00:00"/>
  </r>
  <r>
    <s v="CUST014"/>
    <s v="Emma Davis"/>
    <x v="0"/>
    <x v="4"/>
    <n v="1572.82"/>
    <n v="6"/>
    <n v="0.05"/>
    <d v="2024-04-20T00:00:00"/>
    <n v="672.38"/>
    <d v="2026-09-10T21:03:24"/>
    <d v="2024-04-01T00:00:00"/>
  </r>
  <r>
    <s v="CUST014"/>
    <s v="David Thomas"/>
    <x v="4"/>
    <x v="0"/>
    <n v="1343.13"/>
    <n v="14"/>
    <n v="0.15"/>
    <d v="2024-04-22T00:00:00"/>
    <n v="456.66"/>
    <d v="2026-09-10T21:03:24"/>
    <d v="2024-04-01T00:00:00"/>
  </r>
  <r>
    <s v="CUST007"/>
    <s v="Michael Anderson"/>
    <x v="4"/>
    <x v="0"/>
    <n v="1191.58"/>
    <n v="14"/>
    <n v="0.05"/>
    <d v="2024-04-24T00:00:00"/>
    <n v="452.8"/>
    <d v="2026-09-10T21:03:24"/>
    <d v="2024-04-01T00:00:00"/>
  </r>
  <r>
    <s v="CUST023"/>
    <s v="Robert Anderson"/>
    <x v="0"/>
    <x v="3"/>
    <n v="822.28"/>
    <n v="7"/>
    <n v="0.05"/>
    <d v="2024-04-24T00:00:00"/>
    <n v="273.41"/>
    <d v="2026-09-10T21:03:24"/>
    <d v="2024-04-01T00:00:00"/>
  </r>
  <r>
    <s v="CUST029"/>
    <s v="David Smith"/>
    <x v="3"/>
    <x v="3"/>
    <n v="521.67"/>
    <n v="15"/>
    <n v="0.15"/>
    <d v="2024-04-27T00:00:00"/>
    <n v="155.2"/>
    <d v="2026-09-10T21:03:24"/>
    <d v="2024-04-01T00:00:00"/>
  </r>
  <r>
    <s v="CUST005"/>
    <s v="Sarah Anderson"/>
    <x v="2"/>
    <x v="2"/>
    <n v="1502.93"/>
    <n v="14"/>
    <n v="0.2"/>
    <d v="2024-04-28T00:00:00"/>
    <n v="300.59"/>
    <d v="2026-09-10T21:03:24"/>
    <d v="2024-04-01T00:00:00"/>
  </r>
  <r>
    <s v="CUST008"/>
    <s v="Robert Anderson"/>
    <x v="2"/>
    <x v="0"/>
    <n v="877.58"/>
    <n v="10"/>
    <n v="0.15"/>
    <d v="2024-04-29T00:00:00"/>
    <n v="298.38"/>
    <d v="2026-09-10T21:03:24"/>
    <d v="2024-04-01T00:00:00"/>
  </r>
  <r>
    <s v="CUST001"/>
    <s v="Lisa Thomas"/>
    <x v="0"/>
    <x v="0"/>
    <n v="636.7"/>
    <n v="4"/>
    <n v="0.2"/>
    <d v="2024-04-29T00:00:00"/>
    <n v="203.74"/>
    <d v="2026-09-10T21:03:24"/>
    <d v="2024-04-01T00:00:00"/>
  </r>
  <r>
    <s v="CUST006"/>
    <s v="Mary Jackson"/>
    <x v="0"/>
    <x v="0"/>
    <n v="1506.14"/>
    <n v="13"/>
    <n v="0.2"/>
    <d v="2024-04-30T00:00:00"/>
    <n v="481.96"/>
    <d v="2026-09-10T21:03:24"/>
    <d v="2024-04-01T00:00:00"/>
  </r>
  <r>
    <s v="CUST026"/>
    <s v="Mary Davis"/>
    <x v="4"/>
    <x v="2"/>
    <n v="645.02"/>
    <n v="4"/>
    <n v="0"/>
    <d v="2024-05-02T00:00:00"/>
    <n v="161.26"/>
    <d v="2026-09-10T21:03:24"/>
    <d v="2024-05-01T00:00:00"/>
  </r>
  <r>
    <s v="CUST007"/>
    <s v="Lisa Davis"/>
    <x v="2"/>
    <x v="1"/>
    <n v="953.3"/>
    <n v="11"/>
    <n v="0"/>
    <d v="2024-05-03T00:00:00"/>
    <n v="476.65"/>
    <d v="2026-09-10T21:03:24"/>
    <d v="2024-05-01T00:00:00"/>
  </r>
  <r>
    <s v="CUST022"/>
    <s v="Robert Anderson"/>
    <x v="3"/>
    <x v="2"/>
    <n v="388.56"/>
    <n v="14"/>
    <n v="0.15"/>
    <d v="2024-05-04T00:00:00"/>
    <n v="82.56999999999999"/>
    <d v="2026-09-10T21:03:24"/>
    <d v="2024-05-01T00:00:00"/>
  </r>
  <r>
    <s v="CUST019"/>
    <s v="Mary Davis"/>
    <x v="0"/>
    <x v="0"/>
    <n v="743.17"/>
    <n v="9"/>
    <n v="0"/>
    <d v="2024-05-04T00:00:00"/>
    <n v="297.27"/>
    <d v="2026-09-10T21:03:24"/>
    <d v="2024-05-01T00:00:00"/>
  </r>
  <r>
    <s v="CUST023"/>
    <s v="Mary Davis"/>
    <x v="4"/>
    <x v="2"/>
    <n v="706.37"/>
    <n v="6"/>
    <n v="0"/>
    <d v="2024-05-04T00:00:00"/>
    <n v="176.59"/>
    <d v="2026-09-10T21:03:24"/>
    <d v="2024-05-01T00:00:00"/>
  </r>
  <r>
    <s v="CUST012"/>
    <s v="Mary Davis"/>
    <x v="4"/>
    <x v="4"/>
    <n v="925.3099999999999"/>
    <n v="8"/>
    <n v="0.1"/>
    <d v="2024-05-06T00:00:00"/>
    <n v="374.75"/>
    <d v="2026-09-10T21:03:24"/>
    <d v="2024-05-01T00:00:00"/>
  </r>
  <r>
    <s v="CUST010"/>
    <s v="Linda Brown"/>
    <x v="2"/>
    <x v="2"/>
    <n v="1173.12"/>
    <n v="18"/>
    <n v="0"/>
    <d v="2024-05-06T00:00:00"/>
    <n v="293.28"/>
    <d v="2026-09-10T21:03:24"/>
    <d v="2024-05-01T00:00:00"/>
  </r>
  <r>
    <s v="CUST030"/>
    <s v="John Brown"/>
    <x v="3"/>
    <x v="3"/>
    <n v="675.54"/>
    <n v="17"/>
    <n v="0"/>
    <d v="2024-05-08T00:00:00"/>
    <n v="236.44"/>
    <d v="2026-09-10T21:03:24"/>
    <d v="2024-05-01T00:00:00"/>
  </r>
  <r>
    <s v="CUST007"/>
    <s v="Robert Anderson"/>
    <x v="4"/>
    <x v="0"/>
    <n v="939.09"/>
    <n v="2"/>
    <n v="0.05"/>
    <d v="2024-05-10T00:00:00"/>
    <n v="356.85"/>
    <d v="2026-09-10T21:03:24"/>
    <d v="2024-05-01T00:00:00"/>
  </r>
  <r>
    <s v="CUST028"/>
    <s v="Linda Taylor"/>
    <x v="1"/>
    <x v="4"/>
    <n v="983.34"/>
    <n v="19"/>
    <n v="0.1"/>
    <d v="2024-05-14T00:00:00"/>
    <n v="398.25"/>
    <d v="2026-09-10T21:03:24"/>
    <d v="2024-05-01T00:00:00"/>
  </r>
  <r>
    <s v="CUST028"/>
    <s v="James Wilson"/>
    <x v="2"/>
    <x v="2"/>
    <n v="801.21"/>
    <n v="3"/>
    <n v="0.2"/>
    <d v="2024-05-14T00:00:00"/>
    <n v="160.24"/>
    <d v="2026-09-10T21:03:24"/>
    <d v="2024-05-01T00:00:00"/>
  </r>
  <r>
    <s v="CUST025"/>
    <s v="David Brown"/>
    <x v="3"/>
    <x v="2"/>
    <n v="1450.71"/>
    <n v="5"/>
    <n v="0.1"/>
    <d v="2024-05-15T00:00:00"/>
    <n v="326.41"/>
    <d v="2026-09-10T21:03:24"/>
    <d v="2024-05-01T00:00:00"/>
  </r>
  <r>
    <s v="CUST022"/>
    <s v="David Davis"/>
    <x v="4"/>
    <x v="0"/>
    <n v="1023.21"/>
    <n v="18"/>
    <n v="0.05"/>
    <d v="2024-05-16T00:00:00"/>
    <n v="388.82"/>
    <d v="2026-09-10T21:03:24"/>
    <d v="2024-05-01T00:00:00"/>
  </r>
  <r>
    <s v="CUST001"/>
    <s v="Mary Jackson"/>
    <x v="0"/>
    <x v="3"/>
    <n v="853.72"/>
    <n v="5"/>
    <n v="0.15"/>
    <d v="2024-05-16T00:00:00"/>
    <n v="253.98"/>
    <d v="2026-09-10T21:03:24"/>
    <d v="2024-05-01T00:00:00"/>
  </r>
  <r>
    <s v="CUST021"/>
    <s v="Sarah Anderson"/>
    <x v="2"/>
    <x v="2"/>
    <n v="967.89"/>
    <n v="10"/>
    <n v="0.1"/>
    <d v="2024-05-17T00:00:00"/>
    <n v="217.78"/>
    <d v="2026-09-10T21:03:24"/>
    <d v="2024-05-01T00:00:00"/>
  </r>
  <r>
    <s v="CUST015"/>
    <s v="Linda Taylor"/>
    <x v="3"/>
    <x v="4"/>
    <n v="1200.9"/>
    <n v="14"/>
    <n v="0.05"/>
    <d v="2024-05-17T00:00:00"/>
    <n v="513.38"/>
    <d v="2026-09-10T21:03:24"/>
    <d v="2024-05-01T00:00:00"/>
  </r>
  <r>
    <s v="CUST012"/>
    <s v="Michael Anderson"/>
    <x v="0"/>
    <x v="0"/>
    <n v="472.38"/>
    <n v="12"/>
    <n v="0.2"/>
    <d v="2024-05-17T00:00:00"/>
    <n v="151.16"/>
    <d v="2026-09-10T21:03:24"/>
    <d v="2024-05-01T00:00:00"/>
  </r>
  <r>
    <s v="CUST019"/>
    <s v="David Brown"/>
    <x v="1"/>
    <x v="4"/>
    <n v="840.92"/>
    <n v="9"/>
    <n v="0.05"/>
    <d v="2024-05-17T00:00:00"/>
    <n v="359.49"/>
    <d v="2026-09-10T21:03:24"/>
    <d v="2024-05-01T00:00:00"/>
  </r>
  <r>
    <s v="CUST028"/>
    <s v="Lisa Davis"/>
    <x v="4"/>
    <x v="3"/>
    <n v="1410.06"/>
    <n v="11"/>
    <n v="0.05"/>
    <d v="2024-05-22T00:00:00"/>
    <n v="468.84"/>
    <d v="2026-09-10T21:03:24"/>
    <d v="2024-05-01T00:00:00"/>
  </r>
  <r>
    <s v="CUST008"/>
    <s v="Mary Wilson"/>
    <x v="4"/>
    <x v="3"/>
    <n v="773.09"/>
    <n v="13"/>
    <n v="0.15"/>
    <d v="2024-05-22T00:00:00"/>
    <n v="229.99"/>
    <d v="2026-09-10T21:03:24"/>
    <d v="2024-05-01T00:00:00"/>
  </r>
  <r>
    <s v="CUST016"/>
    <s v="Emma Wilson"/>
    <x v="1"/>
    <x v="0"/>
    <n v="580.4299999999999"/>
    <n v="19"/>
    <n v="0.15"/>
    <d v="2024-05-23T00:00:00"/>
    <n v="197.35"/>
    <d v="2026-09-10T21:03:24"/>
    <d v="2024-05-01T00:00:00"/>
  </r>
  <r>
    <s v="CUST005"/>
    <s v="David Smith"/>
    <x v="2"/>
    <x v="0"/>
    <n v="1151.21"/>
    <n v="15"/>
    <n v="0.1"/>
    <d v="2024-06-02T00:00:00"/>
    <n v="414.44"/>
    <d v="2026-09-10T21:03:24"/>
    <d v="2024-06-01T00:00:00"/>
  </r>
  <r>
    <s v="CUST028"/>
    <s v="James Wilson"/>
    <x v="4"/>
    <x v="4"/>
    <n v="1025.98"/>
    <n v="5"/>
    <n v="0.2"/>
    <d v="2024-06-04T00:00:00"/>
    <n v="369.35"/>
    <d v="2026-09-10T21:03:24"/>
    <d v="2024-06-01T00:00:00"/>
  </r>
  <r>
    <s v="CUST023"/>
    <s v="David Davis"/>
    <x v="1"/>
    <x v="4"/>
    <n v="556.42"/>
    <n v="11"/>
    <n v="0.15"/>
    <d v="2024-06-04T00:00:00"/>
    <n v="212.83"/>
    <d v="2026-09-10T21:03:24"/>
    <d v="2024-06-01T00:00:00"/>
  </r>
  <r>
    <s v="CUST021"/>
    <s v="James Wilson"/>
    <x v="4"/>
    <x v="0"/>
    <n v="840.85"/>
    <n v="19"/>
    <n v="0.1"/>
    <d v="2024-06-05T00:00:00"/>
    <n v="302.71"/>
    <d v="2026-09-10T21:03:24"/>
    <d v="2024-06-01T00:00:00"/>
  </r>
  <r>
    <s v="CUST026"/>
    <s v="Emma Wilson"/>
    <x v="3"/>
    <x v="3"/>
    <n v="1227.25"/>
    <n v="12"/>
    <n v="0.15"/>
    <d v="2024-06-05T00:00:00"/>
    <n v="365.11"/>
    <d v="2026-09-10T21:03:24"/>
    <d v="2024-06-01T00:00:00"/>
  </r>
  <r>
    <s v="CUST017"/>
    <s v="Linda Davis"/>
    <x v="4"/>
    <x v="2"/>
    <n v="856.7"/>
    <n v="2"/>
    <n v="0"/>
    <d v="2024-06-06T00:00:00"/>
    <n v="214.18"/>
    <d v="2026-09-10T21:03:24"/>
    <d v="2024-06-01T00:00:00"/>
  </r>
  <r>
    <s v="CUST025"/>
    <s v="David Davis"/>
    <x v="4"/>
    <x v="4"/>
    <n v="1225.42"/>
    <n v="8"/>
    <n v="0.15"/>
    <d v="2024-06-06T00:00:00"/>
    <n v="468.72"/>
    <d v="2026-09-10T21:03:24"/>
    <d v="2024-06-01T00:00:00"/>
  </r>
  <r>
    <s v="CUST011"/>
    <s v="Mary Davis"/>
    <x v="3"/>
    <x v="4"/>
    <n v="1001.57"/>
    <n v="12"/>
    <n v="0"/>
    <d v="2024-06-07T00:00:00"/>
    <n v="450.71"/>
    <d v="2026-09-10T21:03:24"/>
    <d v="2024-06-01T00:00:00"/>
  </r>
  <r>
    <s v="CUST021"/>
    <s v="Michael Anderson"/>
    <x v="1"/>
    <x v="3"/>
    <n v="1186.85"/>
    <n v="19"/>
    <n v="0.2"/>
    <d v="2024-06-08T00:00:00"/>
    <n v="332.32"/>
    <d v="2026-09-10T21:03:24"/>
    <d v="2024-06-01T00:00:00"/>
  </r>
  <r>
    <s v="CUST008"/>
    <s v="John Brown"/>
    <x v="2"/>
    <x v="2"/>
    <n v="775.45"/>
    <n v="6"/>
    <n v="0.1"/>
    <d v="2024-06-14T00:00:00"/>
    <n v="174.48"/>
    <d v="2026-09-10T21:03:24"/>
    <d v="2024-06-01T00:00:00"/>
  </r>
  <r>
    <s v="CUST007"/>
    <s v="Linda Jackson"/>
    <x v="2"/>
    <x v="2"/>
    <n v="1021.47"/>
    <n v="6"/>
    <n v="0.05"/>
    <d v="2024-06-18T00:00:00"/>
    <n v="242.6"/>
    <d v="2026-09-10T21:03:24"/>
    <d v="2024-06-01T00:00:00"/>
  </r>
  <r>
    <s v="CUST015"/>
    <s v="James Wilson"/>
    <x v="2"/>
    <x v="1"/>
    <n v="1226.62"/>
    <n v="7"/>
    <n v="0.1"/>
    <d v="2024-06-20T00:00:00"/>
    <n v="551.98"/>
    <d v="2026-09-10T21:03:24"/>
    <d v="2024-06-01T00:00:00"/>
  </r>
  <r>
    <s v="CUST030"/>
    <s v="Sarah Davis"/>
    <x v="2"/>
    <x v="3"/>
    <n v="1086.93"/>
    <n v="2"/>
    <n v="0"/>
    <d v="2024-06-21T00:00:00"/>
    <n v="380.43"/>
    <d v="2026-09-10T21:03:24"/>
    <d v="2024-06-01T00:00:00"/>
  </r>
  <r>
    <s v="CUST002"/>
    <s v="Lisa Davis"/>
    <x v="0"/>
    <x v="0"/>
    <n v="942.9"/>
    <n v="18"/>
    <n v="0.1"/>
    <d v="2024-06-23T00:00:00"/>
    <n v="339.44"/>
    <d v="2026-09-10T21:03:24"/>
    <d v="2024-06-01T00:00:00"/>
  </r>
  <r>
    <s v="CUST009"/>
    <s v="Emma Davis"/>
    <x v="3"/>
    <x v="2"/>
    <n v="818.8"/>
    <n v="15"/>
    <n v="0.15"/>
    <d v="2024-06-25T00:00:00"/>
    <n v="173.99"/>
    <d v="2026-09-10T21:03:24"/>
    <d v="2024-06-01T00:00:00"/>
  </r>
  <r>
    <s v="CUST005"/>
    <s v="Robert Anderson"/>
    <x v="2"/>
    <x v="3"/>
    <n v="919.04"/>
    <n v="10"/>
    <n v="0.2"/>
    <d v="2024-06-25T00:00:00"/>
    <n v="257.33"/>
    <d v="2026-09-10T21:03:24"/>
    <d v="2024-06-01T00:00:00"/>
  </r>
  <r>
    <s v="CUST030"/>
    <s v="Emma Taylor"/>
    <x v="4"/>
    <x v="0"/>
    <n v="973.26"/>
    <n v="11"/>
    <n v="0"/>
    <d v="2024-06-27T00:00:00"/>
    <n v="389.3"/>
    <d v="2026-09-10T21:03:24"/>
    <d v="2024-06-01T00:00:00"/>
  </r>
  <r>
    <s v="CUST029"/>
    <s v="Sarah Davis"/>
    <x v="3"/>
    <x v="2"/>
    <n v="741.61"/>
    <n v="1"/>
    <n v="0.2"/>
    <d v="2024-06-28T00:00:00"/>
    <n v="148.32"/>
    <d v="2026-09-10T21:03:24"/>
    <d v="2024-06-01T00:00:00"/>
  </r>
  <r>
    <s v="CUST003"/>
    <s v="Emma Davis"/>
    <x v="3"/>
    <x v="0"/>
    <n v="1248.82"/>
    <n v="2"/>
    <n v="0.1"/>
    <d v="2024-06-30T00:00:00"/>
    <n v="449.58"/>
    <d v="2026-09-10T21:03:24"/>
    <d v="2024-06-01T00:00:00"/>
  </r>
  <r>
    <s v="CUST012"/>
    <s v="Mary Wilson"/>
    <x v="0"/>
    <x v="1"/>
    <n v="1360.36"/>
    <n v="17"/>
    <n v="0"/>
    <d v="2024-06-30T00:00:00"/>
    <n v="680.1799999999999"/>
    <d v="2026-09-10T21:03:24"/>
    <d v="2024-06-01T00:00:00"/>
  </r>
  <r>
    <s v="CUST021"/>
    <s v="Mary Davis"/>
    <x v="1"/>
    <x v="0"/>
    <n v="1383.3"/>
    <n v="8"/>
    <n v="0.1"/>
    <d v="2024-07-05T00:00:00"/>
    <n v="497.99"/>
    <d v="2026-09-10T21:03:24"/>
    <d v="2024-07-01T00:00:00"/>
  </r>
  <r>
    <s v="CUST010"/>
    <s v="David Brown"/>
    <x v="4"/>
    <x v="4"/>
    <n v="488.99"/>
    <n v="9"/>
    <n v="0"/>
    <d v="2024-07-06T00:00:00"/>
    <n v="220.05"/>
    <d v="2026-09-10T21:03:24"/>
    <d v="2024-07-01T00:00:00"/>
  </r>
  <r>
    <s v="CUST026"/>
    <s v="Mary Davis"/>
    <x v="1"/>
    <x v="3"/>
    <n v="933.71"/>
    <n v="17"/>
    <n v="0.1"/>
    <d v="2024-07-08T00:00:00"/>
    <n v="294.12"/>
    <d v="2026-09-10T21:03:24"/>
    <d v="2024-07-01T00:00:00"/>
  </r>
  <r>
    <s v="CUST003"/>
    <s v="James Davis"/>
    <x v="0"/>
    <x v="2"/>
    <n v="1005.53"/>
    <n v="17"/>
    <n v="0.2"/>
    <d v="2024-07-08T00:00:00"/>
    <n v="201.11"/>
    <d v="2026-09-10T21:03:24"/>
    <d v="2024-07-01T00:00:00"/>
  </r>
  <r>
    <s v="CUST029"/>
    <s v="Emma Wilson"/>
    <x v="2"/>
    <x v="2"/>
    <n v="1100.1"/>
    <n v="5"/>
    <n v="0.05"/>
    <d v="2024-07-09T00:00:00"/>
    <n v="261.27"/>
    <d v="2026-09-10T21:03:24"/>
    <d v="2024-07-01T00:00:00"/>
  </r>
  <r>
    <s v="CUST003"/>
    <s v="James Wilson"/>
    <x v="3"/>
    <x v="3"/>
    <n v="1034.7"/>
    <n v="15"/>
    <n v="0.15"/>
    <d v="2024-07-14T00:00:00"/>
    <n v="307.82"/>
    <d v="2026-09-10T21:03:24"/>
    <d v="2024-07-01T00:00:00"/>
  </r>
  <r>
    <s v="CUST002"/>
    <s v="Mary Davis"/>
    <x v="2"/>
    <x v="0"/>
    <n v="876.4400000000001"/>
    <n v="12"/>
    <n v="0.05"/>
    <d v="2024-07-15T00:00:00"/>
    <n v="333.05"/>
    <d v="2026-09-10T21:03:24"/>
    <d v="2024-07-01T00:00:00"/>
  </r>
  <r>
    <s v="CUST020"/>
    <s v="David Brown"/>
    <x v="0"/>
    <x v="3"/>
    <n v="1371.34"/>
    <n v="5"/>
    <n v="0.05"/>
    <d v="2024-07-15T00:00:00"/>
    <n v="455.97"/>
    <d v="2026-09-10T21:03:24"/>
    <d v="2024-07-01T00:00:00"/>
  </r>
  <r>
    <s v="CUST021"/>
    <s v="Mary Jackson"/>
    <x v="3"/>
    <x v="2"/>
    <n v="1020.26"/>
    <n v="11"/>
    <n v="0.05"/>
    <d v="2024-07-21T00:00:00"/>
    <n v="242.31"/>
    <d v="2026-09-10T21:03:24"/>
    <d v="2024-07-01T00:00:00"/>
  </r>
  <r>
    <s v="CUST008"/>
    <s v="James Davis"/>
    <x v="4"/>
    <x v="4"/>
    <n v="804.8099999999999"/>
    <n v="1"/>
    <n v="0.05"/>
    <d v="2024-07-29T00:00:00"/>
    <n v="344.06"/>
    <d v="2026-09-10T21:03:24"/>
    <d v="2024-07-01T00:00:00"/>
  </r>
  <r>
    <s v="CUST030"/>
    <s v="David Brown"/>
    <x v="4"/>
    <x v="2"/>
    <n v="608.66"/>
    <n v="1"/>
    <n v="0.05"/>
    <d v="2024-07-30T00:00:00"/>
    <n v="144.56"/>
    <d v="2026-09-10T21:03:24"/>
    <d v="2024-07-01T00:00:00"/>
  </r>
  <r>
    <s v="CUST020"/>
    <s v="Linda Moore"/>
    <x v="2"/>
    <x v="4"/>
    <n v="981.2"/>
    <n v="19"/>
    <n v="0"/>
    <d v="2024-07-31T00:00:00"/>
    <n v="441.54"/>
    <d v="2026-09-10T21:03:24"/>
    <d v="2024-07-01T00:00:00"/>
  </r>
  <r>
    <s v="CUST024"/>
    <s v="David Brown"/>
    <x v="1"/>
    <x v="2"/>
    <n v="539.77"/>
    <n v="10"/>
    <n v="0.15"/>
    <d v="2024-08-05T00:00:00"/>
    <n v="114.7"/>
    <d v="2026-09-10T21:03:24"/>
    <d v="2024-08-01T00:00:00"/>
  </r>
  <r>
    <s v="CUST012"/>
    <s v="David Anderson"/>
    <x v="2"/>
    <x v="0"/>
    <n v="804.45"/>
    <n v="5"/>
    <n v="0.2"/>
    <d v="2024-08-05T00:00:00"/>
    <n v="257.42"/>
    <d v="2026-09-10T21:03:24"/>
    <d v="2024-08-01T00:00:00"/>
  </r>
  <r>
    <s v="CUST024"/>
    <s v="Emma Davis"/>
    <x v="0"/>
    <x v="2"/>
    <n v="1526.6"/>
    <n v="13"/>
    <n v="0.2"/>
    <d v="2024-08-08T00:00:00"/>
    <n v="305.32"/>
    <d v="2026-09-10T21:03:24"/>
    <d v="2024-08-01T00:00:00"/>
  </r>
  <r>
    <s v="CUST012"/>
    <s v="Linda Wilson"/>
    <x v="0"/>
    <x v="2"/>
    <n v="1215.26"/>
    <n v="5"/>
    <n v="0.15"/>
    <d v="2024-08-09T00:00:00"/>
    <n v="258.24"/>
    <d v="2026-09-10T21:03:24"/>
    <d v="2024-08-01T00:00:00"/>
  </r>
  <r>
    <s v="CUST005"/>
    <s v="Linda Taylor"/>
    <x v="4"/>
    <x v="3"/>
    <n v="1261.34"/>
    <n v="3"/>
    <n v="0"/>
    <d v="2024-08-15T00:00:00"/>
    <n v="441.47"/>
    <d v="2026-09-10T21:03:24"/>
    <d v="2024-08-01T00:00:00"/>
  </r>
  <r>
    <s v="CUST004"/>
    <s v="Lisa Thomas"/>
    <x v="3"/>
    <x v="3"/>
    <n v="518.0700000000001"/>
    <n v="7"/>
    <n v="0.05"/>
    <d v="2024-08-18T00:00:00"/>
    <n v="172.26"/>
    <d v="2026-09-10T21:03:24"/>
    <d v="2024-08-01T00:00:00"/>
  </r>
  <r>
    <s v="CUST026"/>
    <s v="Linda Wilson"/>
    <x v="0"/>
    <x v="4"/>
    <n v="1111.34"/>
    <n v="1"/>
    <n v="0"/>
    <d v="2024-08-19T00:00:00"/>
    <n v="500.1"/>
    <d v="2026-09-10T21:03:24"/>
    <d v="2024-08-01T00:00:00"/>
  </r>
  <r>
    <s v="CUST030"/>
    <s v="Mary Davis"/>
    <x v="1"/>
    <x v="1"/>
    <n v="1291.47"/>
    <n v="18"/>
    <n v="0.1"/>
    <d v="2024-08-22T00:00:00"/>
    <n v="581.16"/>
    <d v="2026-09-10T21:03:24"/>
    <d v="2024-08-01T00:00:00"/>
  </r>
  <r>
    <s v="CUST007"/>
    <s v="David Brown"/>
    <x v="3"/>
    <x v="0"/>
    <n v="679.71"/>
    <n v="19"/>
    <n v="0"/>
    <d v="2024-08-30T00:00:00"/>
    <n v="271.88"/>
    <d v="2026-09-10T21:03:24"/>
    <d v="2024-08-01T00:00:00"/>
  </r>
  <r>
    <s v="CUST020"/>
    <s v="Linda Jackson"/>
    <x v="1"/>
    <x v="3"/>
    <n v="1143.69"/>
    <n v="17"/>
    <n v="0"/>
    <d v="2024-08-30T00:00:00"/>
    <n v="400.29"/>
    <d v="2026-09-10T21:03:24"/>
    <d v="2024-08-01T00:00:00"/>
  </r>
  <r>
    <s v="CUST028"/>
    <s v="Linda Brown"/>
    <x v="4"/>
    <x v="2"/>
    <n v="790.08"/>
    <n v="7"/>
    <n v="0.1"/>
    <d v="2024-09-01T00:00:00"/>
    <n v="177.77"/>
    <d v="2026-09-10T21:03:24"/>
    <d v="2024-09-01T00:00:00"/>
  </r>
  <r>
    <s v="CUST005"/>
    <s v="Lisa Davis"/>
    <x v="4"/>
    <x v="0"/>
    <n v="1070.68"/>
    <n v="7"/>
    <n v="0.05"/>
    <d v="2024-09-01T00:00:00"/>
    <n v="406.86"/>
    <d v="2026-09-10T21:03:24"/>
    <d v="2024-09-01T00:00:00"/>
  </r>
  <r>
    <s v="CUST015"/>
    <s v="David Thomas"/>
    <x v="0"/>
    <x v="1"/>
    <n v="1168.89"/>
    <n v="4"/>
    <n v="0.1"/>
    <d v="2024-09-09T00:00:00"/>
    <n v="526"/>
    <d v="2026-09-10T21:03:24"/>
    <d v="2024-09-01T00:00:00"/>
  </r>
  <r>
    <s v="CUST003"/>
    <s v="James Davis"/>
    <x v="2"/>
    <x v="2"/>
    <n v="1335.87"/>
    <n v="17"/>
    <n v="0"/>
    <d v="2024-09-09T00:00:00"/>
    <n v="333.97"/>
    <d v="2026-09-10T21:03:24"/>
    <d v="2024-09-01T00:00:00"/>
  </r>
  <r>
    <s v="CUST023"/>
    <s v="David Brown"/>
    <x v="1"/>
    <x v="3"/>
    <n v="873.7"/>
    <n v="9"/>
    <n v="0"/>
    <d v="2024-09-11T00:00:00"/>
    <n v="305.8"/>
    <d v="2026-09-10T21:03:24"/>
    <d v="2024-09-01T00:00:00"/>
  </r>
  <r>
    <s v="CUST004"/>
    <s v="Sarah Davis"/>
    <x v="0"/>
    <x v="4"/>
    <n v="1443.98"/>
    <n v="19"/>
    <n v="0"/>
    <d v="2024-09-12T00:00:00"/>
    <n v="649.79"/>
    <d v="2026-09-10T21:03:24"/>
    <d v="2024-09-01T00:00:00"/>
  </r>
  <r>
    <s v="CUST023"/>
    <s v="James Wilson"/>
    <x v="1"/>
    <x v="4"/>
    <n v="1154.33"/>
    <n v="11"/>
    <n v="0.15"/>
    <d v="2024-09-14T00:00:00"/>
    <n v="441.53"/>
    <d v="2026-09-10T21:03:24"/>
    <d v="2024-09-01T00:00:00"/>
  </r>
  <r>
    <s v="CUST022"/>
    <s v="Linda Brown"/>
    <x v="2"/>
    <x v="0"/>
    <n v="1264.49"/>
    <n v="16"/>
    <n v="0.05"/>
    <d v="2024-09-14T00:00:00"/>
    <n v="480.51"/>
    <d v="2026-09-10T21:03:24"/>
    <d v="2024-09-01T00:00:00"/>
  </r>
  <r>
    <s v="CUST007"/>
    <s v="Emma Taylor"/>
    <x v="0"/>
    <x v="3"/>
    <n v="1101.55"/>
    <n v="4"/>
    <n v="0.1"/>
    <d v="2024-09-16T00:00:00"/>
    <n v="346.99"/>
    <d v="2026-09-10T21:03:24"/>
    <d v="2024-09-01T00:00:00"/>
  </r>
  <r>
    <s v="CUST013"/>
    <s v="Robert Anderson"/>
    <x v="2"/>
    <x v="3"/>
    <n v="727.73"/>
    <n v="1"/>
    <n v="0.1"/>
    <d v="2024-09-17T00:00:00"/>
    <n v="229.23"/>
    <d v="2026-09-10T21:03:24"/>
    <d v="2024-09-01T00:00:00"/>
  </r>
  <r>
    <s v="CUST027"/>
    <s v="Emma Davis"/>
    <x v="1"/>
    <x v="4"/>
    <n v="875.41"/>
    <n v="13"/>
    <n v="0.15"/>
    <d v="2024-09-17T00:00:00"/>
    <n v="334.84"/>
    <d v="2026-09-10T21:03:24"/>
    <d v="2024-09-01T00:00:00"/>
  </r>
  <r>
    <s v="CUST003"/>
    <s v="James Wilson"/>
    <x v="0"/>
    <x v="2"/>
    <n v="1158.94"/>
    <n v="19"/>
    <n v="0.2"/>
    <d v="2024-09-18T00:00:00"/>
    <n v="231.79"/>
    <d v="2026-09-10T21:03:24"/>
    <d v="2024-09-01T00:00:00"/>
  </r>
  <r>
    <s v="CUST018"/>
    <s v="Mary Jackson"/>
    <x v="2"/>
    <x v="0"/>
    <n v="966.3"/>
    <n v="2"/>
    <n v="0.15"/>
    <d v="2024-09-22T00:00:00"/>
    <n v="328.54"/>
    <d v="2026-09-10T21:03:24"/>
    <d v="2024-09-01T00:00:00"/>
  </r>
  <r>
    <s v="CUST020"/>
    <s v="James Taylor"/>
    <x v="2"/>
    <x v="0"/>
    <n v="917.48"/>
    <n v="6"/>
    <n v="0"/>
    <d v="2024-09-23T00:00:00"/>
    <n v="366.99"/>
    <d v="2026-09-10T21:03:24"/>
    <d v="2024-09-01T00:00:00"/>
  </r>
  <r>
    <s v="CUST029"/>
    <s v="Emma Wilson"/>
    <x v="0"/>
    <x v="3"/>
    <n v="1172.97"/>
    <n v="7"/>
    <n v="0.15"/>
    <d v="2024-09-24T00:00:00"/>
    <n v="348.96"/>
    <d v="2026-09-10T21:03:24"/>
    <d v="2024-09-01T00:00:00"/>
  </r>
  <r>
    <s v="CUST021"/>
    <s v="James Wilson"/>
    <x v="3"/>
    <x v="1"/>
    <n v="1205.82"/>
    <n v="11"/>
    <n v="0.1"/>
    <d v="2024-09-24T00:00:00"/>
    <n v="542.62"/>
    <d v="2026-09-10T21:03:24"/>
    <d v="2024-09-01T00:00:00"/>
  </r>
  <r>
    <s v="CUST017"/>
    <s v="Sarah Davis"/>
    <x v="0"/>
    <x v="4"/>
    <n v="826.9299999999999"/>
    <n v="10"/>
    <n v="0.2"/>
    <d v="2024-09-29T00:00:00"/>
    <n v="297.69"/>
    <d v="2026-09-10T21:03:24"/>
    <d v="2024-09-01T00:00:00"/>
  </r>
  <r>
    <s v="CUST003"/>
    <s v="James Wilson"/>
    <x v="4"/>
    <x v="1"/>
    <n v="902.1900000000001"/>
    <n v="12"/>
    <n v="0"/>
    <d v="2024-09-29T00:00:00"/>
    <n v="451.1"/>
    <d v="2026-09-10T21:03:24"/>
    <d v="2024-09-01T00:00:00"/>
  </r>
  <r>
    <s v="CUST027"/>
    <s v="Emma Davis"/>
    <x v="3"/>
    <x v="0"/>
    <n v="585.97"/>
    <n v="17"/>
    <n v="0.1"/>
    <d v="2024-09-30T00:00:00"/>
    <n v="210.95"/>
    <d v="2026-09-10T21:03:24"/>
    <d v="2024-09-01T00:00:00"/>
  </r>
  <r>
    <s v="CUST016"/>
    <s v="Michael Anderson"/>
    <x v="3"/>
    <x v="1"/>
    <n v="990.1900000000001"/>
    <n v="8"/>
    <n v="0.1"/>
    <d v="2024-09-30T00:00:00"/>
    <n v="445.59"/>
    <d v="2026-09-10T21:03:24"/>
    <d v="2024-09-01T00:00:00"/>
  </r>
  <r>
    <s v="CUST008"/>
    <s v="David Davis"/>
    <x v="4"/>
    <x v="2"/>
    <n v="1014.09"/>
    <n v="13"/>
    <n v="0.2"/>
    <d v="2024-10-02T00:00:00"/>
    <n v="202.82"/>
    <d v="2026-09-10T21:03:24"/>
    <d v="2024-10-01T00:00:00"/>
  </r>
  <r>
    <s v="CUST012"/>
    <s v="Lisa Davis"/>
    <x v="3"/>
    <x v="2"/>
    <n v="925.29"/>
    <n v="17"/>
    <n v="0"/>
    <d v="2024-10-05T00:00:00"/>
    <n v="231.32"/>
    <d v="2026-09-10T21:03:24"/>
    <d v="2024-10-01T00:00:00"/>
  </r>
  <r>
    <s v="CUST025"/>
    <s v="Mary Jackson"/>
    <x v="1"/>
    <x v="3"/>
    <n v="1286.54"/>
    <n v="8"/>
    <n v="0"/>
    <d v="2024-10-10T00:00:00"/>
    <n v="450.29"/>
    <d v="2026-09-10T21:03:24"/>
    <d v="2024-10-01T00:00:00"/>
  </r>
  <r>
    <s v="CUST014"/>
    <s v="Sarah Davis"/>
    <x v="2"/>
    <x v="0"/>
    <n v="961.62"/>
    <n v="8"/>
    <n v="0.2"/>
    <d v="2024-10-12T00:00:00"/>
    <n v="307.72"/>
    <d v="2026-09-10T21:03:24"/>
    <d v="2024-10-01T00:00:00"/>
  </r>
  <r>
    <s v="CUST008"/>
    <s v="James Wilson"/>
    <x v="1"/>
    <x v="0"/>
    <n v="1081.14"/>
    <n v="19"/>
    <n v="0.15"/>
    <d v="2024-10-12T00:00:00"/>
    <n v="367.59"/>
    <d v="2026-09-10T21:03:24"/>
    <d v="2024-10-01T00:00:00"/>
  </r>
  <r>
    <s v="CUST015"/>
    <s v="James Wilson"/>
    <x v="0"/>
    <x v="1"/>
    <n v="1923.66"/>
    <n v="9"/>
    <n v="0.2"/>
    <d v="2024-10-15T00:00:00"/>
    <n v="769.46"/>
    <d v="2026-09-10T21:03:24"/>
    <d v="2024-10-01T00:00:00"/>
  </r>
  <r>
    <s v="CUST025"/>
    <s v="Emma Taylor"/>
    <x v="4"/>
    <x v="1"/>
    <n v="728.71"/>
    <n v="14"/>
    <n v="0.1"/>
    <d v="2024-10-16T00:00:00"/>
    <n v="327.92"/>
    <d v="2026-09-10T21:03:24"/>
    <d v="2024-10-01T00:00:00"/>
  </r>
  <r>
    <s v="CUST019"/>
    <s v="Linda Jackson"/>
    <x v="4"/>
    <x v="1"/>
    <n v="1301.89"/>
    <n v="7"/>
    <n v="0.15"/>
    <d v="2024-10-16T00:00:00"/>
    <n v="553.3"/>
    <d v="2026-09-10T21:03:24"/>
    <d v="2024-10-01T00:00:00"/>
  </r>
  <r>
    <s v="CUST024"/>
    <s v="Emma Taylor"/>
    <x v="1"/>
    <x v="0"/>
    <n v="980.1799999999999"/>
    <n v="16"/>
    <n v="0.1"/>
    <d v="2024-10-17T00:00:00"/>
    <n v="352.86"/>
    <d v="2026-09-10T21:03:24"/>
    <d v="2024-10-01T00:00:00"/>
  </r>
  <r>
    <s v="CUST027"/>
    <s v="James Wilson"/>
    <x v="0"/>
    <x v="1"/>
    <n v="697.5700000000001"/>
    <n v="17"/>
    <n v="0.1"/>
    <d v="2024-10-19T00:00:00"/>
    <n v="313.91"/>
    <d v="2026-09-10T21:03:24"/>
    <d v="2024-10-01T00:00:00"/>
  </r>
  <r>
    <s v="CUST006"/>
    <s v="David Anderson"/>
    <x v="0"/>
    <x v="3"/>
    <n v="1193.61"/>
    <n v="1"/>
    <n v="0.15"/>
    <d v="2024-10-19T00:00:00"/>
    <n v="355.1"/>
    <d v="2026-09-10T21:03:24"/>
    <d v="2024-10-01T00:00:00"/>
  </r>
  <r>
    <s v="CUST009"/>
    <s v="Emma Davis"/>
    <x v="2"/>
    <x v="2"/>
    <n v="771.02"/>
    <n v="1"/>
    <n v="0"/>
    <d v="2024-10-20T00:00:00"/>
    <n v="192.76"/>
    <d v="2026-09-10T21:03:24"/>
    <d v="2024-10-01T00:00:00"/>
  </r>
  <r>
    <s v="CUST003"/>
    <s v="Linda Moore"/>
    <x v="3"/>
    <x v="1"/>
    <n v="661.09"/>
    <n v="1"/>
    <n v="0.2"/>
    <d v="2024-10-28T00:00:00"/>
    <n v="264.44"/>
    <d v="2026-09-10T21:03:24"/>
    <d v="2024-10-01T00:00:00"/>
  </r>
  <r>
    <s v="CUST012"/>
    <s v="David Brown"/>
    <x v="0"/>
    <x v="2"/>
    <n v="688.83"/>
    <n v="15"/>
    <n v="0"/>
    <d v="2024-10-30T00:00:00"/>
    <n v="172.21"/>
    <d v="2026-09-10T21:03:24"/>
    <d v="2024-10-01T00:00:00"/>
  </r>
  <r>
    <s v="CUST013"/>
    <s v="Linda Wilson"/>
    <x v="4"/>
    <x v="0"/>
    <n v="1249.1"/>
    <n v="4"/>
    <n v="0.05"/>
    <d v="2024-11-01T00:00:00"/>
    <n v="474.66"/>
    <d v="2026-09-10T21:03:24"/>
    <d v="2024-11-01T00:00:00"/>
  </r>
  <r>
    <s v="CUST008"/>
    <s v="James Wilson"/>
    <x v="1"/>
    <x v="4"/>
    <n v="1014.22"/>
    <n v="14"/>
    <n v="0.05"/>
    <d v="2024-11-03T00:00:00"/>
    <n v="433.58"/>
    <d v="2026-09-10T21:03:24"/>
    <d v="2024-11-01T00:00:00"/>
  </r>
  <r>
    <s v="CUST025"/>
    <s v="Lisa Davis"/>
    <x v="1"/>
    <x v="0"/>
    <n v="1010.58"/>
    <n v="2"/>
    <n v="0.15"/>
    <d v="2024-11-09T00:00:00"/>
    <n v="343.6"/>
    <d v="2026-09-10T21:03:24"/>
    <d v="2024-11-01T00:00:00"/>
  </r>
  <r>
    <s v="CUST026"/>
    <s v="Mary Wilson"/>
    <x v="3"/>
    <x v="3"/>
    <n v="957.29"/>
    <n v="4"/>
    <n v="0.05"/>
    <d v="2024-11-09T00:00:00"/>
    <n v="318.3"/>
    <d v="2026-09-10T21:03:24"/>
    <d v="2024-11-01T00:00:00"/>
  </r>
  <r>
    <s v="CUST001"/>
    <s v="Lisa Thomas"/>
    <x v="3"/>
    <x v="3"/>
    <n v="1077.92"/>
    <n v="3"/>
    <n v="0.05"/>
    <d v="2024-11-12T00:00:00"/>
    <n v="358.41"/>
    <d v="2026-09-10T21:03:24"/>
    <d v="2024-11-01T00:00:00"/>
  </r>
  <r>
    <s v="CUST028"/>
    <s v="Linda Brown"/>
    <x v="2"/>
    <x v="1"/>
    <n v="1163.01"/>
    <n v="5"/>
    <n v="0"/>
    <d v="2024-11-15T00:00:00"/>
    <n v="581.5"/>
    <d v="2026-09-10T21:03:24"/>
    <d v="2024-11-01T00:00:00"/>
  </r>
  <r>
    <s v="CUST025"/>
    <s v="Lisa Thomas"/>
    <x v="1"/>
    <x v="4"/>
    <n v="1014.56"/>
    <n v="10"/>
    <n v="0.1"/>
    <d v="2024-11-16T00:00:00"/>
    <n v="410.9"/>
    <d v="2026-09-10T21:03:24"/>
    <d v="2024-11-01T00:00:00"/>
  </r>
  <r>
    <s v="CUST019"/>
    <s v="James Taylor"/>
    <x v="2"/>
    <x v="2"/>
    <n v="718.04"/>
    <n v="14"/>
    <n v="0"/>
    <d v="2024-11-17T00:00:00"/>
    <n v="179.51"/>
    <d v="2026-09-10T21:03:24"/>
    <d v="2024-11-01T00:00:00"/>
  </r>
  <r>
    <s v="CUST004"/>
    <s v="James Taylor"/>
    <x v="4"/>
    <x v="1"/>
    <n v="1277.85"/>
    <n v="18"/>
    <n v="0.2"/>
    <d v="2024-11-17T00:00:00"/>
    <n v="511.14"/>
    <d v="2026-09-10T21:03:24"/>
    <d v="2024-11-01T00:00:00"/>
  </r>
  <r>
    <s v="CUST024"/>
    <s v="James Wilson"/>
    <x v="3"/>
    <x v="2"/>
    <n v="706.73"/>
    <n v="1"/>
    <n v="0.15"/>
    <d v="2024-11-17T00:00:00"/>
    <n v="150.18"/>
    <d v="2026-09-10T21:03:24"/>
    <d v="2024-11-01T00:00:00"/>
  </r>
  <r>
    <s v="CUST002"/>
    <s v="Linda Brown"/>
    <x v="1"/>
    <x v="2"/>
    <n v="1410.59"/>
    <n v="15"/>
    <n v="0"/>
    <d v="2024-11-19T00:00:00"/>
    <n v="352.65"/>
    <d v="2026-09-10T21:03:24"/>
    <d v="2024-11-01T00:00:00"/>
  </r>
  <r>
    <s v="CUST009"/>
    <s v="Emma Wilson"/>
    <x v="2"/>
    <x v="3"/>
    <n v="1350.33"/>
    <n v="10"/>
    <n v="0"/>
    <d v="2024-11-19T00:00:00"/>
    <n v="472.62"/>
    <d v="2026-09-10T21:03:24"/>
    <d v="2024-11-01T00:00:00"/>
  </r>
  <r>
    <s v="CUST029"/>
    <s v="Lisa Thomas"/>
    <x v="1"/>
    <x v="2"/>
    <n v="919.1799999999999"/>
    <n v="4"/>
    <n v="0.15"/>
    <d v="2024-11-19T00:00:00"/>
    <n v="195.33"/>
    <d v="2026-09-10T21:03:24"/>
    <d v="2024-11-01T00:00:00"/>
  </r>
  <r>
    <s v="CUST027"/>
    <s v="James Wilson"/>
    <x v="0"/>
    <x v="2"/>
    <n v="258.51"/>
    <n v="19"/>
    <n v="0"/>
    <d v="2024-11-20T00:00:00"/>
    <n v="64.63"/>
    <d v="2026-09-10T21:03:24"/>
    <d v="2024-11-01T00:00:00"/>
  </r>
  <r>
    <s v="CUST011"/>
    <s v="Emma Wilson"/>
    <x v="1"/>
    <x v="0"/>
    <n v="1213.48"/>
    <n v="5"/>
    <n v="0.05"/>
    <d v="2024-11-20T00:00:00"/>
    <n v="461.12"/>
    <d v="2026-09-10T21:03:24"/>
    <d v="2024-11-01T00:00:00"/>
  </r>
  <r>
    <s v="CUST021"/>
    <s v="Emma Davis"/>
    <x v="4"/>
    <x v="0"/>
    <n v="1150.28"/>
    <n v="8"/>
    <n v="0.05"/>
    <d v="2024-11-26T00:00:00"/>
    <n v="437.11"/>
    <d v="2026-09-10T21:03:24"/>
    <d v="2024-11-01T00:00:00"/>
  </r>
  <r>
    <s v="CUST014"/>
    <s v="David Anderson"/>
    <x v="2"/>
    <x v="3"/>
    <n v="853.86"/>
    <n v="8"/>
    <n v="0.1"/>
    <d v="2024-11-26T00:00:00"/>
    <n v="268.97"/>
    <d v="2026-09-10T21:03:24"/>
    <d v="2024-11-01T00:00:00"/>
  </r>
  <r>
    <s v="CUST018"/>
    <s v="Lisa Thomas"/>
    <x v="2"/>
    <x v="2"/>
    <n v="1061.04"/>
    <n v="1"/>
    <n v="0"/>
    <d v="2024-11-28T00:00:00"/>
    <n v="265.26"/>
    <d v="2026-09-10T21:03:24"/>
    <d v="2024-11-01T00:00:00"/>
  </r>
  <r>
    <s v="CUST001"/>
    <s v="Sarah Anderson"/>
    <x v="0"/>
    <x v="2"/>
    <n v="894.55"/>
    <n v="19"/>
    <n v="0.2"/>
    <d v="2024-11-29T00:00:00"/>
    <n v="178.91"/>
    <d v="2026-09-10T21:03:24"/>
    <d v="2024-11-01T00:00:00"/>
  </r>
  <r>
    <s v="CUST007"/>
    <s v="Emma Davis"/>
    <x v="3"/>
    <x v="4"/>
    <n v="833.91"/>
    <n v="3"/>
    <n v="0.05"/>
    <d v="2024-11-30T00:00:00"/>
    <n v="356.5"/>
    <d v="2026-09-10T21:03:24"/>
    <d v="2024-11-01T00:00:00"/>
  </r>
  <r>
    <s v="CUST015"/>
    <s v="David Anderson"/>
    <x v="0"/>
    <x v="3"/>
    <n v="820.1900000000001"/>
    <n v="4"/>
    <n v="0.2"/>
    <d v="2024-12-04T00:00:00"/>
    <n v="229.65"/>
    <d v="2026-09-10T21:03:24"/>
    <d v="2024-12-01T00:00:00"/>
  </r>
  <r>
    <s v="CUST015"/>
    <s v="Emma Davis"/>
    <x v="4"/>
    <x v="2"/>
    <n v="511.74"/>
    <n v="8"/>
    <n v="0.05"/>
    <d v="2024-12-05T00:00:00"/>
    <n v="121.54"/>
    <d v="2026-09-10T21:03:24"/>
    <d v="2024-12-01T00:00:00"/>
  </r>
  <r>
    <s v="CUST002"/>
    <s v="Emma Wilson"/>
    <x v="2"/>
    <x v="3"/>
    <n v="806.03"/>
    <n v="19"/>
    <n v="0.05"/>
    <d v="2024-12-12T00:00:00"/>
    <n v="268"/>
    <d v="2026-09-10T21:03:24"/>
    <d v="2024-12-01T00:00:00"/>
  </r>
  <r>
    <s v="CUST001"/>
    <s v="Michael Anderson"/>
    <x v="4"/>
    <x v="3"/>
    <n v="1432.47"/>
    <n v="16"/>
    <n v="0.15"/>
    <d v="2024-12-14T00:00:00"/>
    <n v="426.16"/>
    <d v="2026-09-10T21:03:24"/>
    <d v="2024-12-01T00:00:00"/>
  </r>
  <r>
    <s v="CUST027"/>
    <s v="Linda Wilson"/>
    <x v="4"/>
    <x v="2"/>
    <n v="1488.58"/>
    <n v="10"/>
    <n v="0.15"/>
    <d v="2024-12-14T00:00:00"/>
    <n v="316.32"/>
    <d v="2026-09-10T21:03:24"/>
    <d v="2024-12-01T00:00:00"/>
  </r>
  <r>
    <s v="CUST026"/>
    <s v="Emma Taylor"/>
    <x v="1"/>
    <x v="0"/>
    <n v="1231.26"/>
    <n v="9"/>
    <n v="0"/>
    <d v="2024-12-20T00:00:00"/>
    <n v="492.5"/>
    <d v="2026-09-10T21:03:24"/>
    <d v="2024-12-01T00:00:00"/>
  </r>
  <r>
    <s v="CUST026"/>
    <s v="Sarah Anderson"/>
    <x v="0"/>
    <x v="2"/>
    <n v="1161.67"/>
    <n v="19"/>
    <n v="0.2"/>
    <d v="2024-12-21T00:00:00"/>
    <n v="232.33"/>
    <d v="2026-09-10T21:03:24"/>
    <d v="2024-12-01T00:00:00"/>
  </r>
  <r>
    <s v="CUST022"/>
    <s v="Lisa Thomas"/>
    <x v="4"/>
    <x v="4"/>
    <n v="388.23"/>
    <n v="16"/>
    <n v="0.05"/>
    <d v="2024-12-24T00:00:00"/>
    <n v="165.97"/>
    <d v="2026-09-10T21:03:24"/>
    <d v="2024-12-01T00:00:00"/>
  </r>
  <r>
    <s v="CUST004"/>
    <s v="Mary Davis"/>
    <x v="3"/>
    <x v="1"/>
    <n v="1589.42"/>
    <n v="6"/>
    <n v="0.15"/>
    <d v="2024-12-25T00:00:00"/>
    <n v="675.5"/>
    <d v="2026-09-10T21:03:24"/>
    <d v="2024-12-01T00:00:00"/>
  </r>
  <r>
    <s v="CUST001"/>
    <s v="David Anderson"/>
    <x v="3"/>
    <x v="1"/>
    <n v="336.66"/>
    <n v="13"/>
    <n v="0.2"/>
    <d v="2024-12-25T00:00:00"/>
    <n v="134.66"/>
    <d v="2026-09-10T21:03:24"/>
    <d v="2024-12-01T00:00:00"/>
  </r>
  <r>
    <s v="CUST022"/>
    <s v="James Wilson"/>
    <x v="0"/>
    <x v="0"/>
    <n v="1353.79"/>
    <n v="14"/>
    <n v="0.1"/>
    <d v="2024-12-30T00:00:00"/>
    <n v="487.36"/>
    <d v="2026-09-10T21:03:24"/>
    <d v="2024-12-01T00:00:00"/>
  </r>
  <r>
    <s v="CUST011"/>
    <s v="Linda Moore"/>
    <x v="4"/>
    <x v="1"/>
    <n v="662.61"/>
    <n v="11"/>
    <n v="0.05"/>
    <d v="2025-01-01T00:00:00"/>
    <n v="314.74"/>
    <d v="2026-09-10T21:03:24"/>
    <d v="2025-01-01T00:00:00"/>
  </r>
  <r>
    <s v="CUST028"/>
    <s v="Lisa Davis"/>
    <x v="3"/>
    <x v="4"/>
    <n v="309.42"/>
    <n v="1"/>
    <n v="0.2"/>
    <d v="2025-01-01T00:00:00"/>
    <n v="111.39"/>
    <d v="2026-09-10T21:03:24"/>
    <d v="2025-01-01T00:00:00"/>
  </r>
  <r>
    <s v="CUST011"/>
    <s v="Linda Wilson"/>
    <x v="3"/>
    <x v="0"/>
    <n v="884.63"/>
    <n v="18"/>
    <n v="0.1"/>
    <d v="2025-01-02T00:00:00"/>
    <n v="318.47"/>
    <d v="2026-09-10T21:03:24"/>
    <d v="2025-01-01T00:00:00"/>
  </r>
  <r>
    <s v="CUST028"/>
    <s v="James Wilson"/>
    <x v="4"/>
    <x v="4"/>
    <n v="745.05"/>
    <n v="10"/>
    <n v="0.1"/>
    <d v="2025-01-03T00:00:00"/>
    <n v="301.75"/>
    <d v="2026-09-10T21:03:24"/>
    <d v="2025-01-01T00:00:00"/>
  </r>
  <r>
    <s v="CUST016"/>
    <s v="James Taylor"/>
    <x v="2"/>
    <x v="1"/>
    <n v="870.23"/>
    <n v="5"/>
    <n v="0.05"/>
    <d v="2025-01-03T00:00:00"/>
    <n v="413.36"/>
    <d v="2026-09-10T21:03:24"/>
    <d v="2025-01-01T00:00:00"/>
  </r>
  <r>
    <s v="CUST010"/>
    <s v="Linda Wilson"/>
    <x v="0"/>
    <x v="3"/>
    <n v="862.1900000000001"/>
    <n v="18"/>
    <n v="0.05"/>
    <d v="2025-01-06T00:00:00"/>
    <n v="286.68"/>
    <d v="2026-09-10T21:03:24"/>
    <d v="2025-01-01T00:00:00"/>
  </r>
  <r>
    <s v="CUST013"/>
    <s v="Mary Wilson"/>
    <x v="3"/>
    <x v="1"/>
    <n v="1171.18"/>
    <n v="19"/>
    <n v="0.05"/>
    <d v="2025-01-10T00:00:00"/>
    <n v="556.3099999999999"/>
    <d v="2026-09-10T21:03:24"/>
    <d v="2025-01-01T00:00:00"/>
  </r>
  <r>
    <s v="CUST015"/>
    <s v="Robert Anderson"/>
    <x v="2"/>
    <x v="3"/>
    <n v="1054.56"/>
    <n v="11"/>
    <n v="0.1"/>
    <d v="2025-01-12T00:00:00"/>
    <n v="332.19"/>
    <d v="2026-09-10T21:03:24"/>
    <d v="2025-01-01T00:00:00"/>
  </r>
  <r>
    <s v="CUST015"/>
    <s v="James Wilson"/>
    <x v="3"/>
    <x v="2"/>
    <n v="1681.21"/>
    <n v="5"/>
    <n v="0.2"/>
    <d v="2025-01-13T00:00:00"/>
    <n v="336.24"/>
    <d v="2026-09-10T21:03:24"/>
    <d v="2025-01-01T00:00:00"/>
  </r>
  <r>
    <s v="CUST015"/>
    <s v="David Thomas"/>
    <x v="0"/>
    <x v="1"/>
    <n v="379.77"/>
    <n v="9"/>
    <n v="0.05"/>
    <d v="2025-01-16T00:00:00"/>
    <n v="180.39"/>
    <d v="2026-09-10T21:03:24"/>
    <d v="2025-01-01T00:00:00"/>
  </r>
  <r>
    <s v="CUST008"/>
    <s v="Lisa Thomas"/>
    <x v="4"/>
    <x v="1"/>
    <n v="1076.33"/>
    <n v="2"/>
    <n v="0.1"/>
    <d v="2025-01-17T00:00:00"/>
    <n v="484.35"/>
    <d v="2026-09-10T21:03:24"/>
    <d v="2025-01-01T00:00:00"/>
  </r>
  <r>
    <s v="CUST008"/>
    <s v="Mary Davis"/>
    <x v="4"/>
    <x v="4"/>
    <n v="1250.71"/>
    <n v="7"/>
    <n v="0"/>
    <d v="2025-01-17T00:00:00"/>
    <n v="562.8200000000001"/>
    <d v="2026-09-10T21:03:24"/>
    <d v="2025-01-01T00:00:00"/>
  </r>
  <r>
    <s v="CUST023"/>
    <s v="James Taylor"/>
    <x v="2"/>
    <x v="1"/>
    <n v="1118.34"/>
    <n v="6"/>
    <n v="0.2"/>
    <d v="2025-01-17T00:00:00"/>
    <n v="447.34"/>
    <d v="2026-09-10T21:03:24"/>
    <d v="2025-01-01T00:00:00"/>
  </r>
  <r>
    <s v="CUST024"/>
    <s v="Linda Taylor"/>
    <x v="3"/>
    <x v="1"/>
    <n v="1622.62"/>
    <n v="12"/>
    <n v="0.2"/>
    <d v="2025-01-20T00:00:00"/>
    <n v="649.05"/>
    <d v="2026-09-10T21:03:24"/>
    <d v="2025-01-01T00:00:00"/>
  </r>
  <r>
    <s v="CUST018"/>
    <s v="Lisa Davis"/>
    <x v="3"/>
    <x v="0"/>
    <n v="640.64"/>
    <n v="11"/>
    <n v="0.2"/>
    <d v="2025-01-21T00:00:00"/>
    <n v="205"/>
    <d v="2026-09-10T21:03:24"/>
    <d v="2025-01-01T00:00:00"/>
  </r>
  <r>
    <s v="CUST030"/>
    <s v="Sarah Anderson"/>
    <x v="0"/>
    <x v="1"/>
    <n v="585.16"/>
    <n v="17"/>
    <n v="0.1"/>
    <d v="2025-01-27T00:00:00"/>
    <n v="263.32"/>
    <d v="2026-09-10T21:03:24"/>
    <d v="2025-01-01T00:00:00"/>
  </r>
  <r>
    <s v="CUST030"/>
    <s v="Mary Davis"/>
    <x v="1"/>
    <x v="1"/>
    <n v="1109.98"/>
    <n v="5"/>
    <n v="0.2"/>
    <d v="2025-02-02T00:00:00"/>
    <n v="443.99"/>
    <d v="2026-09-10T21:03:24"/>
    <d v="2025-02-01T00:00:00"/>
  </r>
  <r>
    <s v="CUST015"/>
    <s v="Lisa Thomas"/>
    <x v="1"/>
    <x v="0"/>
    <n v="1098.08"/>
    <n v="9"/>
    <n v="0.1"/>
    <d v="2025-02-04T00:00:00"/>
    <n v="395.31"/>
    <d v="2026-09-10T21:03:24"/>
    <d v="2025-02-01T00:00:00"/>
  </r>
  <r>
    <s v="CUST002"/>
    <s v="Lisa Davis"/>
    <x v="0"/>
    <x v="4"/>
    <n v="827.25"/>
    <n v="7"/>
    <n v="0.1"/>
    <d v="2025-02-05T00:00:00"/>
    <n v="335.04"/>
    <d v="2026-09-10T21:03:24"/>
    <d v="2025-02-01T00:00:00"/>
  </r>
  <r>
    <s v="CUST024"/>
    <s v="Linda Wilson"/>
    <x v="4"/>
    <x v="1"/>
    <n v="741.88"/>
    <n v="16"/>
    <n v="0.1"/>
    <d v="2025-02-07T00:00:00"/>
    <n v="333.85"/>
    <d v="2026-09-10T21:03:24"/>
    <d v="2025-02-01T00:00:00"/>
  </r>
  <r>
    <s v="CUST004"/>
    <s v="James Davis"/>
    <x v="1"/>
    <x v="4"/>
    <n v="1311.26"/>
    <n v="6"/>
    <n v="0.1"/>
    <d v="2025-02-10T00:00:00"/>
    <n v="531.0599999999999"/>
    <d v="2026-09-10T21:03:24"/>
    <d v="2025-02-01T00:00:00"/>
  </r>
  <r>
    <s v="CUST004"/>
    <s v="Mary Davis"/>
    <x v="2"/>
    <x v="4"/>
    <n v="573.3200000000001"/>
    <n v="19"/>
    <n v="0.1"/>
    <d v="2025-02-15T00:00:00"/>
    <n v="232.19"/>
    <d v="2026-09-10T21:03:24"/>
    <d v="2025-02-01T00:00:00"/>
  </r>
  <r>
    <s v="CUST028"/>
    <s v="James Wilson"/>
    <x v="0"/>
    <x v="2"/>
    <n v="1115.22"/>
    <n v="14"/>
    <n v="0.2"/>
    <d v="2025-02-17T00:00:00"/>
    <n v="223.04"/>
    <d v="2026-09-10T21:03:24"/>
    <d v="2025-02-01T00:00:00"/>
  </r>
  <r>
    <s v="CUST012"/>
    <s v="Lisa Thomas"/>
    <x v="3"/>
    <x v="1"/>
    <n v="845.84"/>
    <n v="4"/>
    <n v="0"/>
    <d v="2025-02-19T00:00:00"/>
    <n v="422.92"/>
    <d v="2026-09-10T21:03:24"/>
    <d v="2025-02-01T00:00:00"/>
  </r>
  <r>
    <s v="CUST026"/>
    <s v="David Brown"/>
    <x v="0"/>
    <x v="2"/>
    <n v="1029.8"/>
    <n v="3"/>
    <n v="0"/>
    <d v="2025-02-20T00:00:00"/>
    <n v="257.45"/>
    <d v="2026-09-10T21:03:24"/>
    <d v="2025-02-01T00:00:00"/>
  </r>
  <r>
    <s v="CUST009"/>
    <s v="Mary Davis"/>
    <x v="3"/>
    <x v="0"/>
    <n v="1189.83"/>
    <n v="2"/>
    <n v="0.2"/>
    <d v="2025-02-21T00:00:00"/>
    <n v="380.75"/>
    <d v="2026-09-10T21:03:24"/>
    <d v="2025-02-01T00:00:00"/>
  </r>
  <r>
    <s v="CUST003"/>
    <s v="Sarah Anderson"/>
    <x v="2"/>
    <x v="0"/>
    <n v="704.28"/>
    <n v="15"/>
    <n v="0.2"/>
    <d v="2025-02-24T00:00:00"/>
    <n v="225.37"/>
    <d v="2026-09-10T21:03:24"/>
    <d v="2025-02-01T00:00:00"/>
  </r>
  <r>
    <s v="CUST002"/>
    <s v="Mary Jackson"/>
    <x v="4"/>
    <x v="4"/>
    <n v="1618.22"/>
    <n v="12"/>
    <n v="0.2"/>
    <d v="2025-02-24T00:00:00"/>
    <n v="582.5599999999999"/>
    <d v="2026-09-10T21:03:24"/>
    <d v="2025-02-01T00:00:00"/>
  </r>
  <r>
    <s v="CUST013"/>
    <s v="Linda Taylor"/>
    <x v="4"/>
    <x v="0"/>
    <n v="1014.43"/>
    <n v="2"/>
    <n v="0.15"/>
    <d v="2025-02-25T00:00:00"/>
    <n v="344.91"/>
    <d v="2026-09-10T21:03:24"/>
    <d v="2025-02-01T00:00:00"/>
  </r>
  <r>
    <s v="CUST018"/>
    <s v="Mary Davis"/>
    <x v="4"/>
    <x v="1"/>
    <n v="826.97"/>
    <n v="18"/>
    <n v="0.2"/>
    <d v="2025-02-27T00:00:00"/>
    <n v="330.79"/>
    <d v="2026-09-10T21:03:24"/>
    <d v="2025-02-01T00:00:00"/>
  </r>
  <r>
    <s v="CUST017"/>
    <s v="Mary Davis"/>
    <x v="4"/>
    <x v="1"/>
    <n v="1022.23"/>
    <n v="8"/>
    <n v="0.1"/>
    <d v="2025-03-01T00:00:00"/>
    <n v="460"/>
    <d v="2026-09-10T21:03:24"/>
    <d v="2025-03-01T00:00:00"/>
  </r>
  <r>
    <s v="CUST004"/>
    <s v="Linda Wilson"/>
    <x v="1"/>
    <x v="0"/>
    <n v="1099.69"/>
    <n v="6"/>
    <n v="0"/>
    <d v="2025-03-02T00:00:00"/>
    <n v="439.88"/>
    <d v="2026-09-10T21:03:24"/>
    <d v="2025-03-01T00:00:00"/>
  </r>
  <r>
    <s v="CUST028"/>
    <s v="Sarah Davis"/>
    <x v="3"/>
    <x v="0"/>
    <n v="710.52"/>
    <n v="8"/>
    <n v="0.1"/>
    <d v="2025-03-05T00:00:00"/>
    <n v="255.79"/>
    <d v="2026-09-10T21:03:24"/>
    <d v="2025-03-01T00:00:00"/>
  </r>
  <r>
    <s v="CUST028"/>
    <s v="Mary Wilson"/>
    <x v="3"/>
    <x v="0"/>
    <n v="499.18"/>
    <n v="15"/>
    <n v="0.2"/>
    <d v="2025-03-08T00:00:00"/>
    <n v="159.74"/>
    <d v="2026-09-10T21:03:24"/>
    <d v="2025-03-01T00:00:00"/>
  </r>
  <r>
    <s v="CUST014"/>
    <s v="Emma Davis"/>
    <x v="2"/>
    <x v="0"/>
    <n v="1064.19"/>
    <n v="18"/>
    <n v="0.05"/>
    <d v="2025-03-09T00:00:00"/>
    <n v="404.39"/>
    <d v="2026-09-10T21:03:24"/>
    <d v="2025-03-01T00:00:00"/>
  </r>
  <r>
    <s v="CUST003"/>
    <s v="Emma Davis"/>
    <x v="1"/>
    <x v="4"/>
    <n v="438.76"/>
    <n v="18"/>
    <n v="0.05"/>
    <d v="2025-03-10T00:00:00"/>
    <n v="187.57"/>
    <d v="2026-09-10T21:03:24"/>
    <d v="2025-03-01T00:00:00"/>
  </r>
  <r>
    <s v="CUST029"/>
    <s v="David Brown"/>
    <x v="0"/>
    <x v="1"/>
    <n v="864.98"/>
    <n v="2"/>
    <n v="0.05"/>
    <d v="2025-03-11T00:00:00"/>
    <n v="410.87"/>
    <d v="2026-09-10T21:03:24"/>
    <d v="2025-03-01T00:00:00"/>
  </r>
  <r>
    <s v="CUST021"/>
    <s v="David Brown"/>
    <x v="0"/>
    <x v="3"/>
    <n v="984.9299999999999"/>
    <n v="14"/>
    <n v="0.2"/>
    <d v="2025-03-17T00:00:00"/>
    <n v="275.78"/>
    <d v="2026-09-10T21:03:24"/>
    <d v="2025-03-01T00:00:00"/>
  </r>
  <r>
    <s v="CUST007"/>
    <s v="David Brown"/>
    <x v="0"/>
    <x v="1"/>
    <n v="1493.49"/>
    <n v="18"/>
    <n v="0"/>
    <d v="2025-03-18T00:00:00"/>
    <n v="746.74"/>
    <d v="2026-09-10T21:03:24"/>
    <d v="2025-03-01T00:00:00"/>
  </r>
  <r>
    <s v="CUST009"/>
    <s v="Linda Taylor"/>
    <x v="2"/>
    <x v="1"/>
    <n v="689.4299999999999"/>
    <n v="9"/>
    <n v="0.1"/>
    <d v="2025-03-20T00:00:00"/>
    <n v="310.24"/>
    <d v="2026-09-10T21:03:24"/>
    <d v="2025-03-01T00:00:00"/>
  </r>
  <r>
    <s v="CUST023"/>
    <s v="Mary Wilson"/>
    <x v="2"/>
    <x v="1"/>
    <n v="682.24"/>
    <n v="1"/>
    <n v="0"/>
    <d v="2025-03-22T00:00:00"/>
    <n v="341.12"/>
    <d v="2026-09-10T21:03:24"/>
    <d v="2025-03-01T00:00:00"/>
  </r>
  <r>
    <s v="CUST029"/>
    <s v="Michael Anderson"/>
    <x v="3"/>
    <x v="2"/>
    <n v="458.54"/>
    <n v="15"/>
    <n v="0.2"/>
    <d v="2025-03-25T00:00:00"/>
    <n v="91.70999999999999"/>
    <d v="2026-09-10T21:03:24"/>
    <d v="2025-03-01T00:00:00"/>
  </r>
  <r>
    <s v="CUST009"/>
    <s v="Michael Anderson"/>
    <x v="2"/>
    <x v="3"/>
    <n v="1184.25"/>
    <n v="11"/>
    <n v="0.2"/>
    <d v="2025-03-26T00:00:00"/>
    <n v="331.59"/>
    <d v="2026-09-10T21:03:24"/>
    <d v="2025-03-01T00:00:00"/>
  </r>
  <r>
    <s v="CUST007"/>
    <s v="James Davis"/>
    <x v="2"/>
    <x v="1"/>
    <n v="762.14"/>
    <n v="9"/>
    <n v="0"/>
    <d v="2025-03-27T00:00:00"/>
    <n v="381.07"/>
    <d v="2026-09-10T21:03:24"/>
    <d v="2025-03-01T00:00:00"/>
  </r>
  <r>
    <s v="CUST030"/>
    <s v="Linda Taylor"/>
    <x v="3"/>
    <x v="0"/>
    <n v="750.71"/>
    <n v="10"/>
    <n v="0.15"/>
    <d v="2025-03-27T00:00:00"/>
    <n v="255.24"/>
    <d v="2026-09-10T21:03:24"/>
    <d v="2025-03-01T00:00:00"/>
  </r>
  <r>
    <s v="CUST018"/>
    <s v="David Anderson"/>
    <x v="4"/>
    <x v="1"/>
    <n v="1456.94"/>
    <n v="14"/>
    <n v="0.05"/>
    <d v="2025-03-29T00:00:00"/>
    <n v="692.05"/>
    <d v="2026-09-10T21:03:24"/>
    <d v="2025-03-01T00:00:00"/>
  </r>
  <r>
    <s v="CUST008"/>
    <s v="Emma Wilson"/>
    <x v="1"/>
    <x v="3"/>
    <n v="1093.38"/>
    <n v="17"/>
    <n v="0.1"/>
    <d v="2025-03-29T00:00:00"/>
    <n v="344.41"/>
    <d v="2026-09-10T21:03:24"/>
    <d v="2025-03-01T00:00:00"/>
  </r>
  <r>
    <s v="CUST014"/>
    <s v="Sarah Anderson"/>
    <x v="0"/>
    <x v="1"/>
    <n v="934.27"/>
    <n v="8"/>
    <n v="0.15"/>
    <d v="2025-03-30T00:00:00"/>
    <n v="397.06"/>
    <d v="2026-09-10T21:03:24"/>
    <d v="2025-03-01T00:00:00"/>
  </r>
  <r>
    <s v="CUST024"/>
    <s v="David Thomas"/>
    <x v="4"/>
    <x v="1"/>
    <n v="1465.35"/>
    <n v="8"/>
    <n v="0.2"/>
    <d v="2025-03-30T00:00:00"/>
    <n v="586.14"/>
    <d v="2026-09-10T21:03:24"/>
    <d v="2025-03-01T00:00:00"/>
  </r>
  <r>
    <s v="CUST028"/>
    <s v="Robert Anderson"/>
    <x v="2"/>
    <x v="4"/>
    <n v="740.8"/>
    <n v="3"/>
    <n v="0"/>
    <d v="2025-04-02T00:00:00"/>
    <n v="333.36"/>
    <d v="2026-09-10T21:03:24"/>
    <d v="2025-04-01T00:00:00"/>
  </r>
  <r>
    <s v="CUST015"/>
    <s v="Sarah Anderson"/>
    <x v="0"/>
    <x v="4"/>
    <n v="545.4400000000001"/>
    <n v="17"/>
    <n v="0"/>
    <d v="2025-04-05T00:00:00"/>
    <n v="245.45"/>
    <d v="2026-09-10T21:03:24"/>
    <d v="2025-04-01T00:00:00"/>
  </r>
  <r>
    <s v="CUST010"/>
    <s v="David Thomas"/>
    <x v="1"/>
    <x v="0"/>
    <n v="997.61"/>
    <n v="8"/>
    <n v="0.05"/>
    <d v="2025-04-05T00:00:00"/>
    <n v="379.09"/>
    <d v="2026-09-10T21:03:24"/>
    <d v="2025-04-01T00:00:00"/>
  </r>
  <r>
    <s v="CUST016"/>
    <s v="David Thomas"/>
    <x v="2"/>
    <x v="1"/>
    <n v="928.3200000000001"/>
    <n v="2"/>
    <n v="0.05"/>
    <d v="2025-04-07T00:00:00"/>
    <n v="440.95"/>
    <d v="2026-09-10T21:03:24"/>
    <d v="2025-04-01T00:00:0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8" fieldListSortAscending="0" mdxSubqueries="0" applyNumberFormats="0" applyBorderFormats="0" applyFontFormats="0" applyPatternFormats="0" applyAlignmentFormats="0" applyWidthHeightFormats="1" r:id="rId1">
  <location ref="A6:G13" firstHeaderRow="1" firstDataRow="2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1"/>
        <item t="data" sd="1" x="3"/>
        <item t="data" sd="1" x="2"/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numFmtId="17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2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Sum of Sales" fld="4" subtotal="sum" showDataAs="normal" baseField="0" baseItem="0"/>
  </dataFields>
  <chartFormats count="5">
    <chartFormat chart="5" format="0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0"/>
          </reference>
        </references>
      </pivotArea>
    </chartFormat>
    <chartFormat chart="5" format="1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1"/>
          </reference>
        </references>
      </pivotArea>
    </chartFormat>
    <chartFormat chart="5" format="2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2"/>
          </reference>
        </references>
      </pivotArea>
    </chartFormat>
    <chartFormat chart="5" format="3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3"/>
          </reference>
        </references>
      </pivotArea>
    </chartFormat>
    <chartFormat chart="5" format="4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ata" displayName="Data" ref="A1:K201" headerRowCount="1" totalsRowShown="0" headerRowDxfId="16" dataDxfId="14" headerRowBorderDxfId="15" tableBorderDxfId="13" totalsRowBorderDxfId="12">
  <autoFilter ref="A1:K201"/>
  <tableColumns count="11">
    <tableColumn id="1" name="Customer_ID" dataDxfId="11"/>
    <tableColumn id="2" name="Customer_Name" dataDxfId="10"/>
    <tableColumn id="3" name="Region" dataDxfId="9"/>
    <tableColumn id="4" name="Product_Category" dataDxfId="8"/>
    <tableColumn id="5" name="Sales" dataDxfId="7"/>
    <tableColumn id="6" name="Quantity" dataDxfId="6"/>
    <tableColumn id="7" name="Discount" dataDxfId="5"/>
    <tableColumn id="8" name="Order_Date" dataDxfId="4"/>
    <tableColumn id="9" name="Profit" dataDxfId="3"/>
    <tableColumn id="10" name="Timestamp" dataDxfId="2">
      <calculatedColumnFormula>NOW()</calculatedColumnFormula>
    </tableColumn>
    <tableColumn id="11" name="Month" dataDxfId="1">
      <calculatedColumnFormula>DATE(YEAR(H2),MONTH(H2),1)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pivotTable" Target="/xl/pivotTables/pivot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16" customWidth="1" min="4" max="4"/>
    <col width="5" customWidth="1" min="5" max="5"/>
    <col width="20" customWidth="1" min="6" max="6"/>
    <col width="16" customWidth="1" min="7" max="7"/>
    <col width="16" customWidth="1" min="8" max="8"/>
    <col width="5" customWidth="1" min="9" max="9"/>
    <col width="20" customWidth="1" min="10" max="10"/>
    <col width="16" customWidth="1" min="11" max="11"/>
    <col width="16" customWidth="1" min="12" max="12"/>
    <col width="4" customWidth="1" min="13" max="13"/>
  </cols>
  <sheetData>
    <row r="2">
      <c r="B2" s="51" t="inlineStr">
        <is>
          <t>EXECUTIVE SALES &amp; PERFORMANCE DASHBOARD</t>
        </is>
      </c>
    </row>
    <row r="3">
      <c r="B3" s="52" t="inlineStr">
        <is>
          <t>Interactive project summary &amp; analytics across regions, product categories, and top customers.</t>
        </is>
      </c>
    </row>
    <row r="5">
      <c r="B5" s="53" t="inlineStr">
        <is>
          <t>TOTAL REVENUE</t>
        </is>
      </c>
      <c r="C5" s="53" t="n"/>
      <c r="D5" s="53" t="n"/>
      <c r="F5" s="54" t="inlineStr">
        <is>
          <t>TOTAL PROFIT</t>
        </is>
      </c>
      <c r="G5" s="54" t="n"/>
      <c r="H5" s="54" t="n"/>
      <c r="J5" s="55" t="inlineStr">
        <is>
          <t>PROFIT MARGIN</t>
        </is>
      </c>
      <c r="K5" s="55" t="n"/>
      <c r="L5" s="55" t="n"/>
    </row>
    <row r="6">
      <c r="B6" s="56">
        <f>SUM(data!E2:E201)</f>
        <v/>
      </c>
      <c r="C6" s="57" t="n"/>
      <c r="D6" s="57" t="n"/>
      <c r="F6" s="58">
        <f>SUM(data!I2:I201)</f>
        <v/>
      </c>
      <c r="G6" s="59" t="n"/>
      <c r="H6" s="59" t="n"/>
      <c r="J6" s="60">
        <f>F6/B6</f>
        <v/>
      </c>
      <c r="K6" s="61" t="n"/>
      <c r="L6" s="61" t="n"/>
    </row>
    <row r="7">
      <c r="B7" s="62" t="inlineStr">
        <is>
          <t>200 Total Orders</t>
        </is>
      </c>
      <c r="C7" s="62" t="n"/>
      <c r="D7" s="62" t="n"/>
      <c r="F7" s="63" t="inlineStr">
        <is>
          <t>Net Operating Margin</t>
        </is>
      </c>
      <c r="G7" s="63" t="n"/>
      <c r="H7" s="63" t="n"/>
      <c r="J7" s="64" t="inlineStr">
        <is>
          <t>Overall Profitability Rate</t>
        </is>
      </c>
      <c r="K7" s="64" t="n"/>
      <c r="L7" s="64" t="n"/>
    </row>
    <row r="10">
      <c r="B10" s="65" t="inlineStr">
        <is>
          <t>FILTER BY REGION 🎛️</t>
        </is>
      </c>
      <c r="F10" s="65" t="inlineStr">
        <is>
          <t>FILTER BY CATEGORY 🎛️</t>
        </is>
      </c>
    </row>
    <row r="11">
      <c r="B11" s="66" t="inlineStr">
        <is>
          <t xml:space="preserve">  ✓  (All Regions)</t>
        </is>
      </c>
      <c r="C11" s="67" t="n"/>
      <c r="D11" s="67" t="n"/>
      <c r="F11" s="66" t="inlineStr">
        <is>
          <t xml:space="preserve">  ✓  (All Categories)</t>
        </is>
      </c>
      <c r="G11" s="67" t="n"/>
      <c r="H11" s="67" t="n"/>
    </row>
    <row r="12">
      <c r="B12" s="66" t="inlineStr">
        <is>
          <t xml:space="preserve">  [  ] Central</t>
        </is>
      </c>
      <c r="C12" s="67" t="n"/>
      <c r="D12" s="67" t="n"/>
      <c r="F12" s="66" t="inlineStr">
        <is>
          <t xml:space="preserve">  [  ] Books</t>
        </is>
      </c>
      <c r="G12" s="67" t="n"/>
      <c r="H12" s="67" t="n"/>
    </row>
    <row r="13">
      <c r="B13" s="66" t="inlineStr">
        <is>
          <t xml:space="preserve">  [  ] East</t>
        </is>
      </c>
      <c r="C13" s="67" t="n"/>
      <c r="D13" s="67" t="n"/>
      <c r="F13" s="66" t="inlineStr">
        <is>
          <t xml:space="preserve">  [  ] Clothing</t>
        </is>
      </c>
      <c r="G13" s="67" t="n"/>
      <c r="H13" s="67" t="n"/>
    </row>
    <row r="14">
      <c r="B14" s="66" t="inlineStr">
        <is>
          <t xml:space="preserve">  [  ] North</t>
        </is>
      </c>
      <c r="C14" s="67" t="n"/>
      <c r="D14" s="67" t="n"/>
      <c r="F14" s="66" t="inlineStr">
        <is>
          <t xml:space="preserve">  [  ] Electronics</t>
        </is>
      </c>
      <c r="G14" s="67" t="n"/>
      <c r="H14" s="67" t="n"/>
    </row>
    <row r="15">
      <c r="B15" s="66" t="inlineStr">
        <is>
          <t xml:space="preserve">  [  ] South</t>
        </is>
      </c>
      <c r="C15" s="67" t="n"/>
      <c r="D15" s="67" t="n"/>
      <c r="F15" s="66" t="inlineStr">
        <is>
          <t xml:space="preserve">  [  ] Furniture</t>
        </is>
      </c>
      <c r="G15" s="67" t="n"/>
      <c r="H15" s="67" t="n"/>
    </row>
    <row r="16">
      <c r="B16" s="66" t="inlineStr">
        <is>
          <t xml:space="preserve">  [  ] West</t>
        </is>
      </c>
      <c r="C16" s="67" t="n"/>
      <c r="D16" s="67" t="n"/>
      <c r="F16" s="66" t="inlineStr">
        <is>
          <t xml:space="preserve">  [  ] Office Supplies</t>
        </is>
      </c>
      <c r="G16" s="67" t="n"/>
      <c r="H16" s="67" t="n"/>
    </row>
    <row r="19">
      <c r="B19" s="68" t="inlineStr">
        <is>
          <t>Region</t>
        </is>
      </c>
      <c r="C19" s="68" t="inlineStr">
        <is>
          <t>Total Sales</t>
        </is>
      </c>
      <c r="D19" s="68" t="inlineStr">
        <is>
          <t>Total Profit</t>
        </is>
      </c>
      <c r="F19" s="68" t="inlineStr">
        <is>
          <t>Product Category</t>
        </is>
      </c>
      <c r="G19" s="68" t="inlineStr">
        <is>
          <t>Total Sales</t>
        </is>
      </c>
      <c r="H19" s="68" t="inlineStr">
        <is>
          <t>Total Profit</t>
        </is>
      </c>
      <c r="J19" s="68" t="inlineStr">
        <is>
          <t>Top Customers</t>
        </is>
      </c>
      <c r="K19" s="68" t="inlineStr">
        <is>
          <t>Total Revenue</t>
        </is>
      </c>
      <c r="L19" s="68" t="inlineStr">
        <is>
          <t>Order Count</t>
        </is>
      </c>
    </row>
    <row r="20">
      <c r="B20" s="69" t="inlineStr">
        <is>
          <t>Central</t>
        </is>
      </c>
      <c r="C20" s="70">
        <f>SUMIF(data!$C$2:$C$201, B20, data!$E$2:$E$201)</f>
        <v/>
      </c>
      <c r="D20" s="70">
        <f>SUMIF(data!$C$2:$C$201, B20, data!$I$2:$I$201)</f>
        <v/>
      </c>
      <c r="F20" s="69" t="inlineStr">
        <is>
          <t>Books</t>
        </is>
      </c>
      <c r="G20" s="70">
        <f>SUMIF(data!$D$2:$D$201, F20, data!$E$2:$E$201)</f>
        <v/>
      </c>
      <c r="H20" s="70">
        <f>SUMIF(data!$D$2:$D$201, F20, data!$I$2:$I$201)</f>
        <v/>
      </c>
      <c r="J20" s="69" t="inlineStr">
        <is>
          <t>James Wilson</t>
        </is>
      </c>
      <c r="K20" s="70">
        <f>'Customer summary'!C4</f>
        <v/>
      </c>
      <c r="L20" s="69">
        <f>'Customer summary'!E4</f>
        <v/>
      </c>
    </row>
    <row r="21">
      <c r="B21" s="69" t="inlineStr">
        <is>
          <t>East</t>
        </is>
      </c>
      <c r="C21" s="70">
        <f>SUMIF(data!$C$2:$C$201, B21, data!$E$2:$E$201)</f>
        <v/>
      </c>
      <c r="D21" s="70">
        <f>SUMIF(data!$C$2:$C$201, B21, data!$I$2:$I$201)</f>
        <v/>
      </c>
      <c r="F21" s="69" t="inlineStr">
        <is>
          <t>Clothing</t>
        </is>
      </c>
      <c r="G21" s="70">
        <f>SUMIF(data!$D$2:$D$201, F21, data!$E$2:$E$201)</f>
        <v/>
      </c>
      <c r="H21" s="70">
        <f>SUMIF(data!$D$2:$D$201, F21, data!$I$2:$I$201)</f>
        <v/>
      </c>
      <c r="J21" s="69" t="inlineStr">
        <is>
          <t>Mary Davis</t>
        </is>
      </c>
      <c r="K21" s="70">
        <f>'Customer summary'!C7</f>
        <v/>
      </c>
      <c r="L21" s="69">
        <f>'Customer summary'!E7</f>
        <v/>
      </c>
    </row>
    <row r="22">
      <c r="B22" s="69" t="inlineStr">
        <is>
          <t>North</t>
        </is>
      </c>
      <c r="C22" s="70">
        <f>SUMIF(data!$C$2:$C$201, B22, data!$E$2:$E$201)</f>
        <v/>
      </c>
      <c r="D22" s="70">
        <f>SUMIF(data!$C$2:$C$201, B22, data!$I$2:$I$201)</f>
        <v/>
      </c>
      <c r="F22" s="69" t="inlineStr">
        <is>
          <t>Electronics</t>
        </is>
      </c>
      <c r="G22" s="70">
        <f>SUMIF(data!$D$2:$D$201, F22, data!$E$2:$E$201)</f>
        <v/>
      </c>
      <c r="H22" s="70">
        <f>SUMIF(data!$D$2:$D$201, F22, data!$I$2:$I$201)</f>
        <v/>
      </c>
      <c r="J22" s="69" t="inlineStr">
        <is>
          <t>Emma Davis</t>
        </is>
      </c>
      <c r="K22" s="70">
        <f>'Customer summary'!C10</f>
        <v/>
      </c>
      <c r="L22" s="69">
        <f>'Customer summary'!E10</f>
        <v/>
      </c>
    </row>
    <row r="23">
      <c r="B23" s="69" t="inlineStr">
        <is>
          <t>South</t>
        </is>
      </c>
      <c r="C23" s="70">
        <f>SUMIF(data!$C$2:$C$201, B23, data!$E$2:$E$201)</f>
        <v/>
      </c>
      <c r="D23" s="70">
        <f>SUMIF(data!$C$2:$C$201, B23, data!$I$2:$I$201)</f>
        <v/>
      </c>
      <c r="F23" s="69" t="inlineStr">
        <is>
          <t>Furniture</t>
        </is>
      </c>
      <c r="G23" s="70">
        <f>SUMIF(data!$D$2:$D$201, F23, data!$E$2:$E$201)</f>
        <v/>
      </c>
      <c r="H23" s="70">
        <f>SUMIF(data!$D$2:$D$201, F23, data!$I$2:$I$201)</f>
        <v/>
      </c>
      <c r="J23" s="69" t="inlineStr">
        <is>
          <t>Linda Wilson</t>
        </is>
      </c>
      <c r="K23" s="70">
        <f>'Customer summary'!C6</f>
        <v/>
      </c>
      <c r="L23" s="69">
        <f>'Customer summary'!E6</f>
        <v/>
      </c>
    </row>
    <row r="24">
      <c r="B24" s="69" t="inlineStr">
        <is>
          <t>West</t>
        </is>
      </c>
      <c r="C24" s="70">
        <f>SUMIF(data!$C$2:$C$201, B24, data!$E$2:$E$201)</f>
        <v/>
      </c>
      <c r="D24" s="70">
        <f>SUMIF(data!$C$2:$C$201, B24, data!$I$2:$I$201)</f>
        <v/>
      </c>
      <c r="F24" s="69" t="inlineStr">
        <is>
          <t>Office Supplies</t>
        </is>
      </c>
      <c r="G24" s="70">
        <f>SUMIF(data!$D$2:$D$201, F24, data!$E$2:$E$201)</f>
        <v/>
      </c>
      <c r="H24" s="70">
        <f>SUMIF(data!$D$2:$D$201, F24, data!$I$2:$I$201)</f>
        <v/>
      </c>
      <c r="J24" s="69" t="inlineStr">
        <is>
          <t>Robert Anderson</t>
        </is>
      </c>
      <c r="K24" s="70">
        <f>'Customer summary'!C2</f>
        <v/>
      </c>
      <c r="L24" s="69">
        <f>'Customer summary'!E2</f>
        <v/>
      </c>
    </row>
  </sheetData>
  <mergeCells count="23">
    <mergeCell ref="B11:D11"/>
    <mergeCell ref="J6:L6"/>
    <mergeCell ref="B14:D14"/>
    <mergeCell ref="F5:H5"/>
    <mergeCell ref="B13:D13"/>
    <mergeCell ref="J7:L7"/>
    <mergeCell ref="B10:D10"/>
    <mergeCell ref="F13:H13"/>
    <mergeCell ref="B15:D15"/>
    <mergeCell ref="B6:D6"/>
    <mergeCell ref="B5:D5"/>
    <mergeCell ref="F14:H14"/>
    <mergeCell ref="B7:D7"/>
    <mergeCell ref="F11:H11"/>
    <mergeCell ref="B16:D16"/>
    <mergeCell ref="J5:L5"/>
    <mergeCell ref="F10:H10"/>
    <mergeCell ref="F16:H16"/>
    <mergeCell ref="F6:H6"/>
    <mergeCell ref="F12:H12"/>
    <mergeCell ref="F7:H7"/>
    <mergeCell ref="B12:D12"/>
    <mergeCell ref="F15:H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topLeftCell="A182" zoomScale="145" zoomScaleNormal="145" workbookViewId="0">
      <selection activeCell="A203" sqref="A203"/>
    </sheetView>
  </sheetViews>
  <sheetFormatPr baseColWidth="8" defaultRowHeight="14.4"/>
  <cols>
    <col width="13.77734375" customWidth="1" min="1" max="1"/>
    <col width="16.88671875" customWidth="1" min="2" max="2"/>
    <col width="17.88671875" customWidth="1" min="4" max="4"/>
    <col width="10.21875" customWidth="1" min="6" max="7"/>
    <col width="12.77734375" customWidth="1" min="8" max="8"/>
    <col width="15.77734375" bestFit="1" customWidth="1" min="10" max="10"/>
    <col width="10.109375" bestFit="1" customWidth="1" min="11" max="11"/>
  </cols>
  <sheetData>
    <row r="1" ht="15" customHeight="1" thickBot="1">
      <c r="A1" s="6" t="inlineStr">
        <is>
          <t>Customer_ID</t>
        </is>
      </c>
      <c r="B1" s="7" t="inlineStr">
        <is>
          <t>Customer_Name</t>
        </is>
      </c>
      <c r="C1" s="7" t="inlineStr">
        <is>
          <t>Region</t>
        </is>
      </c>
      <c r="D1" s="7" t="inlineStr">
        <is>
          <t>Product_Category</t>
        </is>
      </c>
      <c r="E1" s="7" t="inlineStr">
        <is>
          <t>Sales</t>
        </is>
      </c>
      <c r="F1" s="7" t="inlineStr">
        <is>
          <t>Quantity</t>
        </is>
      </c>
      <c r="G1" s="7" t="inlineStr">
        <is>
          <t>Discount</t>
        </is>
      </c>
      <c r="H1" s="7" t="inlineStr">
        <is>
          <t>Order_Date</t>
        </is>
      </c>
      <c r="I1" s="8" t="inlineStr">
        <is>
          <t>Profit</t>
        </is>
      </c>
      <c r="J1" s="7" t="inlineStr">
        <is>
          <t>Timestamp</t>
        </is>
      </c>
      <c r="K1" s="7" t="inlineStr">
        <is>
          <t>Month</t>
        </is>
      </c>
    </row>
    <row r="2" ht="15" customHeight="1" thickBot="1">
      <c r="A2" s="4" t="inlineStr">
        <is>
          <t>CUST019</t>
        </is>
      </c>
      <c r="B2" s="1" t="inlineStr">
        <is>
          <t>James Davis</t>
        </is>
      </c>
      <c r="C2" s="1" t="inlineStr">
        <is>
          <t>West</t>
        </is>
      </c>
      <c r="D2" s="1" t="inlineStr">
        <is>
          <t>Books</t>
        </is>
      </c>
      <c r="E2" s="2" t="n">
        <v>1036.09</v>
      </c>
      <c r="F2" s="2" t="n">
        <v>4</v>
      </c>
      <c r="G2" s="2" t="n">
        <v>0.2</v>
      </c>
      <c r="H2" s="3" t="n">
        <v>45392</v>
      </c>
      <c r="I2" s="5" t="n">
        <v>331.55</v>
      </c>
      <c r="J2" s="14">
        <f>NOW()</f>
        <v/>
      </c>
      <c r="K2" s="17">
        <f>DATE(YEAR(H2),MONTH(H2),1)</f>
        <v/>
      </c>
    </row>
    <row r="3" ht="15" customHeight="1" thickBot="1">
      <c r="A3" s="4" t="inlineStr">
        <is>
          <t>CUST012</t>
        </is>
      </c>
      <c r="B3" s="1" t="inlineStr">
        <is>
          <t>Robert Anderson</t>
        </is>
      </c>
      <c r="C3" s="1" t="inlineStr">
        <is>
          <t>West</t>
        </is>
      </c>
      <c r="D3" s="1" t="inlineStr">
        <is>
          <t>Clothing</t>
        </is>
      </c>
      <c r="E3" s="2" t="n">
        <v>1101.28</v>
      </c>
      <c r="F3" s="2" t="n">
        <v>3</v>
      </c>
      <c r="G3" s="2" t="n">
        <v>0.2</v>
      </c>
      <c r="H3" s="3" t="n">
        <v>45393</v>
      </c>
      <c r="I3" s="5" t="n">
        <v>440.51</v>
      </c>
      <c r="J3" s="15">
        <f>NOW()</f>
        <v/>
      </c>
      <c r="K3" s="17">
        <f>DATE(YEAR(H3),MONTH(H3),1)</f>
        <v/>
      </c>
    </row>
    <row r="4" ht="15" customHeight="1" thickBot="1">
      <c r="A4" s="4" t="inlineStr">
        <is>
          <t>CUST017</t>
        </is>
      </c>
      <c r="B4" s="1" t="inlineStr">
        <is>
          <t>James Taylor</t>
        </is>
      </c>
      <c r="C4" s="1" t="inlineStr">
        <is>
          <t>East</t>
        </is>
      </c>
      <c r="D4" s="1" t="inlineStr">
        <is>
          <t>Books</t>
        </is>
      </c>
      <c r="E4" s="2" t="n">
        <v>713.34</v>
      </c>
      <c r="F4" s="2" t="n">
        <v>17</v>
      </c>
      <c r="G4" s="2" t="n">
        <v>0</v>
      </c>
      <c r="H4" s="3" t="n">
        <v>45396</v>
      </c>
      <c r="I4" s="5" t="n">
        <v>285.34</v>
      </c>
      <c r="J4" s="15">
        <f>NOW()</f>
        <v/>
      </c>
      <c r="K4" s="17">
        <f>DATE(YEAR(H4),MONTH(H4),1)</f>
        <v/>
      </c>
    </row>
    <row r="5" ht="15" customHeight="1" thickBot="1">
      <c r="A5" s="4" t="inlineStr">
        <is>
          <t>CUST005</t>
        </is>
      </c>
      <c r="B5" s="1" t="inlineStr">
        <is>
          <t>Robert Anderson</t>
        </is>
      </c>
      <c r="C5" s="1" t="inlineStr">
        <is>
          <t>South</t>
        </is>
      </c>
      <c r="D5" s="1" t="inlineStr">
        <is>
          <t>Electronics</t>
        </is>
      </c>
      <c r="E5" s="2" t="n">
        <v>760.9299999999999</v>
      </c>
      <c r="F5" s="2" t="n">
        <v>4</v>
      </c>
      <c r="G5" s="2" t="n">
        <v>0.15</v>
      </c>
      <c r="H5" s="3" t="n">
        <v>45396</v>
      </c>
      <c r="I5" s="5" t="n">
        <v>161.7</v>
      </c>
      <c r="J5" s="15">
        <f>NOW()</f>
        <v/>
      </c>
      <c r="K5" s="17">
        <f>DATE(YEAR(H5),MONTH(H5),1)</f>
        <v/>
      </c>
    </row>
    <row r="6" ht="15" customHeight="1" thickBot="1">
      <c r="A6" s="4" t="inlineStr">
        <is>
          <t>CUST030</t>
        </is>
      </c>
      <c r="B6" s="1" t="inlineStr">
        <is>
          <t>James Wilson</t>
        </is>
      </c>
      <c r="C6" s="1" t="inlineStr">
        <is>
          <t>North</t>
        </is>
      </c>
      <c r="D6" s="1" t="inlineStr">
        <is>
          <t>Books</t>
        </is>
      </c>
      <c r="E6" s="2" t="n">
        <v>847</v>
      </c>
      <c r="F6" s="2" t="n">
        <v>12</v>
      </c>
      <c r="G6" s="2" t="n">
        <v>0.2</v>
      </c>
      <c r="H6" s="3" t="n">
        <v>45397</v>
      </c>
      <c r="I6" s="5" t="n">
        <v>271.04</v>
      </c>
      <c r="J6" s="15">
        <f>NOW()</f>
        <v/>
      </c>
      <c r="K6" s="17">
        <f>DATE(YEAR(H6),MONTH(H6),1)</f>
        <v/>
      </c>
    </row>
    <row r="7" ht="15" customHeight="1" thickBot="1">
      <c r="A7" s="4" t="inlineStr">
        <is>
          <t>CUST007</t>
        </is>
      </c>
      <c r="B7" s="1" t="inlineStr">
        <is>
          <t>Michael Anderson</t>
        </is>
      </c>
      <c r="C7" s="1" t="inlineStr">
        <is>
          <t>North</t>
        </is>
      </c>
      <c r="D7" s="1" t="inlineStr">
        <is>
          <t>Furniture</t>
        </is>
      </c>
      <c r="E7" s="2" t="n">
        <v>965.64</v>
      </c>
      <c r="F7" s="2" t="n">
        <v>8</v>
      </c>
      <c r="G7" s="2" t="n">
        <v>0.1</v>
      </c>
      <c r="H7" s="3" t="n">
        <v>45398</v>
      </c>
      <c r="I7" s="5" t="n">
        <v>304.18</v>
      </c>
      <c r="J7" s="15">
        <f>NOW()</f>
        <v/>
      </c>
      <c r="K7" s="17">
        <f>DATE(YEAR(H7),MONTH(H7),1)</f>
        <v/>
      </c>
    </row>
    <row r="8" ht="15" customHeight="1" thickBot="1">
      <c r="A8" s="4" t="inlineStr">
        <is>
          <t>CUST001</t>
        </is>
      </c>
      <c r="B8" s="1" t="inlineStr">
        <is>
          <t>Linda Wilson</t>
        </is>
      </c>
      <c r="C8" s="1" t="inlineStr">
        <is>
          <t>West</t>
        </is>
      </c>
      <c r="D8" s="1" t="inlineStr">
        <is>
          <t>Electronics</t>
        </is>
      </c>
      <c r="E8" s="2" t="n">
        <v>1317.53</v>
      </c>
      <c r="F8" s="2" t="n">
        <v>12</v>
      </c>
      <c r="G8" s="2" t="n">
        <v>0.05</v>
      </c>
      <c r="H8" s="3" t="n">
        <v>45398</v>
      </c>
      <c r="I8" s="5" t="n">
        <v>312.91</v>
      </c>
      <c r="J8" s="15">
        <f>NOW()</f>
        <v/>
      </c>
      <c r="K8" s="17">
        <f>DATE(YEAR(H8),MONTH(H8),1)</f>
        <v/>
      </c>
    </row>
    <row r="9" ht="15" customHeight="1" thickBot="1">
      <c r="A9" s="4" t="inlineStr">
        <is>
          <t>CUST026</t>
        </is>
      </c>
      <c r="B9" s="1" t="inlineStr">
        <is>
          <t>Mary Davis</t>
        </is>
      </c>
      <c r="C9" s="1" t="inlineStr">
        <is>
          <t>East</t>
        </is>
      </c>
      <c r="D9" s="1" t="inlineStr">
        <is>
          <t>Furniture</t>
        </is>
      </c>
      <c r="E9" s="2" t="n">
        <v>1074.47</v>
      </c>
      <c r="F9" s="2" t="n">
        <v>6</v>
      </c>
      <c r="G9" s="2" t="n">
        <v>0.2</v>
      </c>
      <c r="H9" s="3" t="n">
        <v>45401</v>
      </c>
      <c r="I9" s="5" t="n">
        <v>300.85</v>
      </c>
      <c r="J9" s="15">
        <f>NOW()</f>
        <v/>
      </c>
      <c r="K9" s="17">
        <f>DATE(YEAR(H9),MONTH(H9),1)</f>
        <v/>
      </c>
    </row>
    <row r="10" ht="15" customHeight="1" thickBot="1">
      <c r="A10" s="4" t="inlineStr">
        <is>
          <t>CUST009</t>
        </is>
      </c>
      <c r="B10" s="1" t="inlineStr">
        <is>
          <t>Linda Jackson</t>
        </is>
      </c>
      <c r="C10" s="1" t="inlineStr">
        <is>
          <t>Central</t>
        </is>
      </c>
      <c r="D10" s="1" t="inlineStr">
        <is>
          <t>Books</t>
        </is>
      </c>
      <c r="E10" s="2" t="n">
        <v>501.54</v>
      </c>
      <c r="F10" s="2" t="n">
        <v>11</v>
      </c>
      <c r="G10" s="2" t="n">
        <v>0.05</v>
      </c>
      <c r="H10" s="3" t="n">
        <v>45401</v>
      </c>
      <c r="I10" s="5" t="n">
        <v>190.59</v>
      </c>
      <c r="J10" s="15">
        <f>NOW()</f>
        <v/>
      </c>
      <c r="K10" s="17">
        <f>DATE(YEAR(H10),MONTH(H10),1)</f>
        <v/>
      </c>
    </row>
    <row r="11" ht="15" customHeight="1" thickBot="1">
      <c r="A11" s="4" t="inlineStr">
        <is>
          <t>CUST010</t>
        </is>
      </c>
      <c r="B11" s="1" t="inlineStr">
        <is>
          <t>David Thomas</t>
        </is>
      </c>
      <c r="C11" s="1" t="inlineStr">
        <is>
          <t>Central</t>
        </is>
      </c>
      <c r="D11" s="1" t="inlineStr">
        <is>
          <t>Clothing</t>
        </is>
      </c>
      <c r="E11" s="2" t="n">
        <v>737.3099999999999</v>
      </c>
      <c r="F11" s="2" t="n">
        <v>2</v>
      </c>
      <c r="G11" s="2" t="n">
        <v>0.05</v>
      </c>
      <c r="H11" s="3" t="n">
        <v>45401</v>
      </c>
      <c r="I11" s="5" t="n">
        <v>350.22</v>
      </c>
      <c r="J11" s="15">
        <f>NOW()</f>
        <v/>
      </c>
      <c r="K11" s="17">
        <f>DATE(YEAR(H11),MONTH(H11),1)</f>
        <v/>
      </c>
    </row>
    <row r="12" ht="15" customHeight="1" thickBot="1">
      <c r="A12" s="4" t="inlineStr">
        <is>
          <t>CUST014</t>
        </is>
      </c>
      <c r="B12" s="1" t="inlineStr">
        <is>
          <t>Emma Davis</t>
        </is>
      </c>
      <c r="C12" s="1" t="inlineStr">
        <is>
          <t>West</t>
        </is>
      </c>
      <c r="D12" s="1" t="inlineStr">
        <is>
          <t>Office Supplies</t>
        </is>
      </c>
      <c r="E12" s="2" t="n">
        <v>1572.82</v>
      </c>
      <c r="F12" s="2" t="n">
        <v>6</v>
      </c>
      <c r="G12" s="2" t="n">
        <v>0.05</v>
      </c>
      <c r="H12" s="3" t="n">
        <v>45402</v>
      </c>
      <c r="I12" s="5" t="n">
        <v>672.38</v>
      </c>
      <c r="J12" s="15">
        <f>NOW()</f>
        <v/>
      </c>
      <c r="K12" s="17">
        <f>DATE(YEAR(H12),MONTH(H12),1)</f>
        <v/>
      </c>
    </row>
    <row r="13" ht="15" customHeight="1" thickBot="1">
      <c r="A13" s="4" t="inlineStr">
        <is>
          <t>CUST014</t>
        </is>
      </c>
      <c r="B13" s="1" t="inlineStr">
        <is>
          <t>David Thomas</t>
        </is>
      </c>
      <c r="C13" s="1" t="inlineStr">
        <is>
          <t>Central</t>
        </is>
      </c>
      <c r="D13" s="1" t="inlineStr">
        <is>
          <t>Books</t>
        </is>
      </c>
      <c r="E13" s="2" t="n">
        <v>1343.13</v>
      </c>
      <c r="F13" s="2" t="n">
        <v>14</v>
      </c>
      <c r="G13" s="2" t="n">
        <v>0.15</v>
      </c>
      <c r="H13" s="3" t="n">
        <v>45404</v>
      </c>
      <c r="I13" s="5" t="n">
        <v>456.66</v>
      </c>
      <c r="J13" s="15">
        <f>NOW()</f>
        <v/>
      </c>
      <c r="K13" s="17">
        <f>DATE(YEAR(H13),MONTH(H13),1)</f>
        <v/>
      </c>
    </row>
    <row r="14" ht="15" customHeight="1" thickBot="1">
      <c r="A14" s="4" t="inlineStr">
        <is>
          <t>CUST007</t>
        </is>
      </c>
      <c r="B14" s="1" t="inlineStr">
        <is>
          <t>Michael Anderson</t>
        </is>
      </c>
      <c r="C14" s="1" t="inlineStr">
        <is>
          <t>Central</t>
        </is>
      </c>
      <c r="D14" s="1" t="inlineStr">
        <is>
          <t>Books</t>
        </is>
      </c>
      <c r="E14" s="2" t="n">
        <v>1191.58</v>
      </c>
      <c r="F14" s="2" t="n">
        <v>14</v>
      </c>
      <c r="G14" s="2" t="n">
        <v>0.05</v>
      </c>
      <c r="H14" s="3" t="n">
        <v>45406</v>
      </c>
      <c r="I14" s="5" t="n">
        <v>452.8</v>
      </c>
      <c r="J14" s="15">
        <f>NOW()</f>
        <v/>
      </c>
      <c r="K14" s="17">
        <f>DATE(YEAR(H14),MONTH(H14),1)</f>
        <v/>
      </c>
    </row>
    <row r="15" ht="15" customHeight="1" thickBot="1">
      <c r="A15" s="4" t="inlineStr">
        <is>
          <t>CUST023</t>
        </is>
      </c>
      <c r="B15" s="1" t="inlineStr">
        <is>
          <t>Robert Anderson</t>
        </is>
      </c>
      <c r="C15" s="1" t="inlineStr">
        <is>
          <t>West</t>
        </is>
      </c>
      <c r="D15" s="1" t="inlineStr">
        <is>
          <t>Furniture</t>
        </is>
      </c>
      <c r="E15" s="2" t="n">
        <v>822.28</v>
      </c>
      <c r="F15" s="2" t="n">
        <v>7</v>
      </c>
      <c r="G15" s="2" t="n">
        <v>0.05</v>
      </c>
      <c r="H15" s="3" t="n">
        <v>45406</v>
      </c>
      <c r="I15" s="5" t="n">
        <v>273.41</v>
      </c>
      <c r="J15" s="15">
        <f>NOW()</f>
        <v/>
      </c>
      <c r="K15" s="17">
        <f>DATE(YEAR(H15),MONTH(H15),1)</f>
        <v/>
      </c>
    </row>
    <row r="16" ht="15" customHeight="1" thickBot="1">
      <c r="A16" s="4" t="inlineStr">
        <is>
          <t>CUST029</t>
        </is>
      </c>
      <c r="B16" s="1" t="inlineStr">
        <is>
          <t>David Smith</t>
        </is>
      </c>
      <c r="C16" s="1" t="inlineStr">
        <is>
          <t>North</t>
        </is>
      </c>
      <c r="D16" s="1" t="inlineStr">
        <is>
          <t>Furniture</t>
        </is>
      </c>
      <c r="E16" s="2" t="n">
        <v>521.67</v>
      </c>
      <c r="F16" s="2" t="n">
        <v>15</v>
      </c>
      <c r="G16" s="2" t="n">
        <v>0.15</v>
      </c>
      <c r="H16" s="3" t="n">
        <v>45409</v>
      </c>
      <c r="I16" s="5" t="n">
        <v>155.2</v>
      </c>
      <c r="J16" s="15">
        <f>NOW()</f>
        <v/>
      </c>
      <c r="K16" s="17">
        <f>DATE(YEAR(H16),MONTH(H16),1)</f>
        <v/>
      </c>
    </row>
    <row r="17" ht="15" customHeight="1" thickBot="1">
      <c r="A17" s="4" t="inlineStr">
        <is>
          <t>CUST005</t>
        </is>
      </c>
      <c r="B17" s="1" t="inlineStr">
        <is>
          <t>Sarah Anderson</t>
        </is>
      </c>
      <c r="C17" s="1" t="inlineStr">
        <is>
          <t>South</t>
        </is>
      </c>
      <c r="D17" s="1" t="inlineStr">
        <is>
          <t>Electronics</t>
        </is>
      </c>
      <c r="E17" s="2" t="n">
        <v>1502.93</v>
      </c>
      <c r="F17" s="2" t="n">
        <v>14</v>
      </c>
      <c r="G17" s="2" t="n">
        <v>0.2</v>
      </c>
      <c r="H17" s="3" t="n">
        <v>45410</v>
      </c>
      <c r="I17" s="5" t="n">
        <v>300.59</v>
      </c>
      <c r="J17" s="15">
        <f>NOW()</f>
        <v/>
      </c>
      <c r="K17" s="17">
        <f>DATE(YEAR(H17),MONTH(H17),1)</f>
        <v/>
      </c>
    </row>
    <row r="18" ht="15" customHeight="1" thickBot="1">
      <c r="A18" s="4" t="inlineStr">
        <is>
          <t>CUST008</t>
        </is>
      </c>
      <c r="B18" s="1" t="inlineStr">
        <is>
          <t>Robert Anderson</t>
        </is>
      </c>
      <c r="C18" s="1" t="inlineStr">
        <is>
          <t>South</t>
        </is>
      </c>
      <c r="D18" s="1" t="inlineStr">
        <is>
          <t>Books</t>
        </is>
      </c>
      <c r="E18" s="2" t="n">
        <v>877.58</v>
      </c>
      <c r="F18" s="2" t="n">
        <v>10</v>
      </c>
      <c r="G18" s="2" t="n">
        <v>0.15</v>
      </c>
      <c r="H18" s="3" t="n">
        <v>45411</v>
      </c>
      <c r="I18" s="5" t="n">
        <v>298.38</v>
      </c>
      <c r="J18" s="15">
        <f>NOW()</f>
        <v/>
      </c>
      <c r="K18" s="17">
        <f>DATE(YEAR(H18),MONTH(H18),1)</f>
        <v/>
      </c>
    </row>
    <row r="19" ht="15" customHeight="1" thickBot="1">
      <c r="A19" s="4" t="inlineStr">
        <is>
          <t>CUST001</t>
        </is>
      </c>
      <c r="B19" s="1" t="inlineStr">
        <is>
          <t>Lisa Thomas</t>
        </is>
      </c>
      <c r="C19" s="1" t="inlineStr">
        <is>
          <t>West</t>
        </is>
      </c>
      <c r="D19" s="1" t="inlineStr">
        <is>
          <t>Books</t>
        </is>
      </c>
      <c r="E19" s="2" t="n">
        <v>636.7</v>
      </c>
      <c r="F19" s="2" t="n">
        <v>4</v>
      </c>
      <c r="G19" s="2" t="n">
        <v>0.2</v>
      </c>
      <c r="H19" s="3" t="n">
        <v>45411</v>
      </c>
      <c r="I19" s="5" t="n">
        <v>203.74</v>
      </c>
      <c r="J19" s="15">
        <f>NOW()</f>
        <v/>
      </c>
      <c r="K19" s="17">
        <f>DATE(YEAR(H19),MONTH(H19),1)</f>
        <v/>
      </c>
    </row>
    <row r="20" ht="15" customHeight="1" thickBot="1">
      <c r="A20" s="4" t="inlineStr">
        <is>
          <t>CUST006</t>
        </is>
      </c>
      <c r="B20" s="1" t="inlineStr">
        <is>
          <t>Mary Jackson</t>
        </is>
      </c>
      <c r="C20" s="1" t="inlineStr">
        <is>
          <t>West</t>
        </is>
      </c>
      <c r="D20" s="1" t="inlineStr">
        <is>
          <t>Books</t>
        </is>
      </c>
      <c r="E20" s="2" t="n">
        <v>1506.14</v>
      </c>
      <c r="F20" s="2" t="n">
        <v>13</v>
      </c>
      <c r="G20" s="2" t="n">
        <v>0.2</v>
      </c>
      <c r="H20" s="3" t="n">
        <v>45412</v>
      </c>
      <c r="I20" s="5" t="n">
        <v>481.96</v>
      </c>
      <c r="J20" s="15">
        <f>NOW()</f>
        <v/>
      </c>
      <c r="K20" s="17">
        <f>DATE(YEAR(H20),MONTH(H20),1)</f>
        <v/>
      </c>
    </row>
    <row r="21" ht="15" customHeight="1" thickBot="1">
      <c r="A21" s="4" t="inlineStr">
        <is>
          <t>CUST026</t>
        </is>
      </c>
      <c r="B21" s="1" t="inlineStr">
        <is>
          <t>Mary Davis</t>
        </is>
      </c>
      <c r="C21" s="1" t="inlineStr">
        <is>
          <t>Central</t>
        </is>
      </c>
      <c r="D21" s="1" t="inlineStr">
        <is>
          <t>Electronics</t>
        </is>
      </c>
      <c r="E21" s="2" t="n">
        <v>645.02</v>
      </c>
      <c r="F21" s="2" t="n">
        <v>4</v>
      </c>
      <c r="G21" s="2" t="n">
        <v>0</v>
      </c>
      <c r="H21" s="3" t="n">
        <v>45414</v>
      </c>
      <c r="I21" s="5" t="n">
        <v>161.26</v>
      </c>
      <c r="J21" s="15">
        <f>NOW()</f>
        <v/>
      </c>
      <c r="K21" s="17">
        <f>DATE(YEAR(H21),MONTH(H21),1)</f>
        <v/>
      </c>
    </row>
    <row r="22" ht="15" customHeight="1" thickBot="1">
      <c r="A22" s="4" t="inlineStr">
        <is>
          <t>CUST007</t>
        </is>
      </c>
      <c r="B22" s="1" t="inlineStr">
        <is>
          <t>Lisa Davis</t>
        </is>
      </c>
      <c r="C22" s="1" t="inlineStr">
        <is>
          <t>South</t>
        </is>
      </c>
      <c r="D22" s="1" t="inlineStr">
        <is>
          <t>Clothing</t>
        </is>
      </c>
      <c r="E22" s="2" t="n">
        <v>953.3</v>
      </c>
      <c r="F22" s="2" t="n">
        <v>11</v>
      </c>
      <c r="G22" s="2" t="n">
        <v>0</v>
      </c>
      <c r="H22" s="3" t="n">
        <v>45415</v>
      </c>
      <c r="I22" s="5" t="n">
        <v>476.65</v>
      </c>
      <c r="J22" s="15">
        <f>NOW()</f>
        <v/>
      </c>
      <c r="K22" s="17">
        <f>DATE(YEAR(H22),MONTH(H22),1)</f>
        <v/>
      </c>
    </row>
    <row r="23" ht="15" customHeight="1" thickBot="1">
      <c r="A23" s="4" t="inlineStr">
        <is>
          <t>CUST022</t>
        </is>
      </c>
      <c r="B23" s="1" t="inlineStr">
        <is>
          <t>Robert Anderson</t>
        </is>
      </c>
      <c r="C23" s="1" t="inlineStr">
        <is>
          <t>North</t>
        </is>
      </c>
      <c r="D23" s="1" t="inlineStr">
        <is>
          <t>Electronics</t>
        </is>
      </c>
      <c r="E23" s="2" t="n">
        <v>388.56</v>
      </c>
      <c r="F23" s="2" t="n">
        <v>14</v>
      </c>
      <c r="G23" s="2" t="n">
        <v>0.15</v>
      </c>
      <c r="H23" s="3" t="n">
        <v>45416</v>
      </c>
      <c r="I23" s="5" t="n">
        <v>82.56999999999999</v>
      </c>
      <c r="J23" s="15">
        <f>NOW()</f>
        <v/>
      </c>
      <c r="K23" s="17">
        <f>DATE(YEAR(H23),MONTH(H23),1)</f>
        <v/>
      </c>
    </row>
    <row r="24" ht="15" customHeight="1" thickBot="1">
      <c r="A24" s="4" t="inlineStr">
        <is>
          <t>CUST019</t>
        </is>
      </c>
      <c r="B24" s="1" t="inlineStr">
        <is>
          <t>Mary Davis</t>
        </is>
      </c>
      <c r="C24" s="1" t="inlineStr">
        <is>
          <t>West</t>
        </is>
      </c>
      <c r="D24" s="1" t="inlineStr">
        <is>
          <t>Books</t>
        </is>
      </c>
      <c r="E24" s="2" t="n">
        <v>743.17</v>
      </c>
      <c r="F24" s="2" t="n">
        <v>9</v>
      </c>
      <c r="G24" s="2" t="n">
        <v>0</v>
      </c>
      <c r="H24" s="3" t="n">
        <v>45416</v>
      </c>
      <c r="I24" s="5" t="n">
        <v>297.27</v>
      </c>
      <c r="J24" s="15">
        <f>NOW()</f>
        <v/>
      </c>
      <c r="K24" s="17">
        <f>DATE(YEAR(H24),MONTH(H24),1)</f>
        <v/>
      </c>
    </row>
    <row r="25" ht="15" customHeight="1" thickBot="1">
      <c r="A25" s="4" t="inlineStr">
        <is>
          <t>CUST023</t>
        </is>
      </c>
      <c r="B25" s="1" t="inlineStr">
        <is>
          <t>Mary Davis</t>
        </is>
      </c>
      <c r="C25" s="1" t="inlineStr">
        <is>
          <t>Central</t>
        </is>
      </c>
      <c r="D25" s="1" t="inlineStr">
        <is>
          <t>Electronics</t>
        </is>
      </c>
      <c r="E25" s="2" t="n">
        <v>706.37</v>
      </c>
      <c r="F25" s="2" t="n">
        <v>6</v>
      </c>
      <c r="G25" s="2" t="n">
        <v>0</v>
      </c>
      <c r="H25" s="3" t="n">
        <v>45416</v>
      </c>
      <c r="I25" s="5" t="n">
        <v>176.59</v>
      </c>
      <c r="J25" s="15">
        <f>NOW()</f>
        <v/>
      </c>
      <c r="K25" s="17">
        <f>DATE(YEAR(H25),MONTH(H25),1)</f>
        <v/>
      </c>
    </row>
    <row r="26" ht="15" customHeight="1" thickBot="1">
      <c r="A26" s="4" t="inlineStr">
        <is>
          <t>CUST012</t>
        </is>
      </c>
      <c r="B26" s="1" t="inlineStr">
        <is>
          <t>Mary Davis</t>
        </is>
      </c>
      <c r="C26" s="1" t="inlineStr">
        <is>
          <t>Central</t>
        </is>
      </c>
      <c r="D26" s="1" t="inlineStr">
        <is>
          <t>Office Supplies</t>
        </is>
      </c>
      <c r="E26" s="2" t="n">
        <v>925.3099999999999</v>
      </c>
      <c r="F26" s="2" t="n">
        <v>8</v>
      </c>
      <c r="G26" s="2" t="n">
        <v>0.1</v>
      </c>
      <c r="H26" s="3" t="n">
        <v>45418</v>
      </c>
      <c r="I26" s="5" t="n">
        <v>374.75</v>
      </c>
      <c r="J26" s="15">
        <f>NOW()</f>
        <v/>
      </c>
      <c r="K26" s="17">
        <f>DATE(YEAR(H26),MONTH(H26),1)</f>
        <v/>
      </c>
    </row>
    <row r="27" ht="15" customHeight="1" thickBot="1">
      <c r="A27" s="4" t="inlineStr">
        <is>
          <t>CUST010</t>
        </is>
      </c>
      <c r="B27" s="1" t="inlineStr">
        <is>
          <t>Linda Brown</t>
        </is>
      </c>
      <c r="C27" s="1" t="inlineStr">
        <is>
          <t>South</t>
        </is>
      </c>
      <c r="D27" s="1" t="inlineStr">
        <is>
          <t>Electronics</t>
        </is>
      </c>
      <c r="E27" s="2" t="n">
        <v>1173.12</v>
      </c>
      <c r="F27" s="2" t="n">
        <v>18</v>
      </c>
      <c r="G27" s="2" t="n">
        <v>0</v>
      </c>
      <c r="H27" s="3" t="n">
        <v>45418</v>
      </c>
      <c r="I27" s="5" t="n">
        <v>293.28</v>
      </c>
      <c r="J27" s="15">
        <f>NOW()</f>
        <v/>
      </c>
      <c r="K27" s="17">
        <f>DATE(YEAR(H27),MONTH(H27),1)</f>
        <v/>
      </c>
    </row>
    <row r="28" ht="15" customHeight="1" thickBot="1">
      <c r="A28" s="4" t="inlineStr">
        <is>
          <t>CUST030</t>
        </is>
      </c>
      <c r="B28" s="1" t="inlineStr">
        <is>
          <t>John Brown</t>
        </is>
      </c>
      <c r="C28" s="1" t="inlineStr">
        <is>
          <t>North</t>
        </is>
      </c>
      <c r="D28" s="1" t="inlineStr">
        <is>
          <t>Furniture</t>
        </is>
      </c>
      <c r="E28" s="2" t="n">
        <v>675.54</v>
      </c>
      <c r="F28" s="2" t="n">
        <v>17</v>
      </c>
      <c r="G28" s="2" t="n">
        <v>0</v>
      </c>
      <c r="H28" s="3" t="n">
        <v>45420</v>
      </c>
      <c r="I28" s="5" t="n">
        <v>236.44</v>
      </c>
      <c r="J28" s="15">
        <f>NOW()</f>
        <v/>
      </c>
      <c r="K28" s="17">
        <f>DATE(YEAR(H28),MONTH(H28),1)</f>
        <v/>
      </c>
    </row>
    <row r="29" ht="15" customHeight="1" thickBot="1">
      <c r="A29" s="4" t="inlineStr">
        <is>
          <t>CUST007</t>
        </is>
      </c>
      <c r="B29" s="1" t="inlineStr">
        <is>
          <t>Robert Anderson</t>
        </is>
      </c>
      <c r="C29" s="1" t="inlineStr">
        <is>
          <t>Central</t>
        </is>
      </c>
      <c r="D29" s="1" t="inlineStr">
        <is>
          <t>Books</t>
        </is>
      </c>
      <c r="E29" s="2" t="n">
        <v>939.09</v>
      </c>
      <c r="F29" s="2" t="n">
        <v>2</v>
      </c>
      <c r="G29" s="2" t="n">
        <v>0.05</v>
      </c>
      <c r="H29" s="3" t="n">
        <v>45422</v>
      </c>
      <c r="I29" s="5" t="n">
        <v>356.85</v>
      </c>
      <c r="J29" s="15">
        <f>NOW()</f>
        <v/>
      </c>
      <c r="K29" s="17">
        <f>DATE(YEAR(H29),MONTH(H29),1)</f>
        <v/>
      </c>
    </row>
    <row r="30" ht="15" customHeight="1" thickBot="1">
      <c r="A30" s="4" t="inlineStr">
        <is>
          <t>CUST028</t>
        </is>
      </c>
      <c r="B30" s="1" t="inlineStr">
        <is>
          <t>Linda Taylor</t>
        </is>
      </c>
      <c r="C30" s="1" t="inlineStr">
        <is>
          <t>East</t>
        </is>
      </c>
      <c r="D30" s="1" t="inlineStr">
        <is>
          <t>Office Supplies</t>
        </is>
      </c>
      <c r="E30" s="2" t="n">
        <v>983.34</v>
      </c>
      <c r="F30" s="2" t="n">
        <v>19</v>
      </c>
      <c r="G30" s="2" t="n">
        <v>0.1</v>
      </c>
      <c r="H30" s="3" t="n">
        <v>45426</v>
      </c>
      <c r="I30" s="5" t="n">
        <v>398.25</v>
      </c>
      <c r="J30" s="15">
        <f>NOW()</f>
        <v/>
      </c>
      <c r="K30" s="17">
        <f>DATE(YEAR(H30),MONTH(H30),1)</f>
        <v/>
      </c>
    </row>
    <row r="31" ht="15" customHeight="1" thickBot="1">
      <c r="A31" s="4" t="inlineStr">
        <is>
          <t>CUST028</t>
        </is>
      </c>
      <c r="B31" s="1" t="inlineStr">
        <is>
          <t>James Wilson</t>
        </is>
      </c>
      <c r="C31" s="1" t="inlineStr">
        <is>
          <t>South</t>
        </is>
      </c>
      <c r="D31" s="1" t="inlineStr">
        <is>
          <t>Electronics</t>
        </is>
      </c>
      <c r="E31" s="2" t="n">
        <v>801.21</v>
      </c>
      <c r="F31" s="2" t="n">
        <v>3</v>
      </c>
      <c r="G31" s="2" t="n">
        <v>0.2</v>
      </c>
      <c r="H31" s="3" t="n">
        <v>45426</v>
      </c>
      <c r="I31" s="5" t="n">
        <v>160.24</v>
      </c>
      <c r="J31" s="15">
        <f>NOW()</f>
        <v/>
      </c>
      <c r="K31" s="17">
        <f>DATE(YEAR(H31),MONTH(H31),1)</f>
        <v/>
      </c>
    </row>
    <row r="32" ht="15" customHeight="1" thickBot="1">
      <c r="A32" s="4" t="inlineStr">
        <is>
          <t>CUST025</t>
        </is>
      </c>
      <c r="B32" s="1" t="inlineStr">
        <is>
          <t>David Brown</t>
        </is>
      </c>
      <c r="C32" s="1" t="inlineStr">
        <is>
          <t>North</t>
        </is>
      </c>
      <c r="D32" s="1" t="inlineStr">
        <is>
          <t>Electronics</t>
        </is>
      </c>
      <c r="E32" s="2" t="n">
        <v>1450.71</v>
      </c>
      <c r="F32" s="2" t="n">
        <v>5</v>
      </c>
      <c r="G32" s="2" t="n">
        <v>0.1</v>
      </c>
      <c r="H32" s="3" t="n">
        <v>45427</v>
      </c>
      <c r="I32" s="5" t="n">
        <v>326.41</v>
      </c>
      <c r="J32" s="15">
        <f>NOW()</f>
        <v/>
      </c>
      <c r="K32" s="17">
        <f>DATE(YEAR(H32),MONTH(H32),1)</f>
        <v/>
      </c>
    </row>
    <row r="33" ht="15" customHeight="1" thickBot="1">
      <c r="A33" s="4" t="inlineStr">
        <is>
          <t>CUST022</t>
        </is>
      </c>
      <c r="B33" s="1" t="inlineStr">
        <is>
          <t>David Davis</t>
        </is>
      </c>
      <c r="C33" s="1" t="inlineStr">
        <is>
          <t>Central</t>
        </is>
      </c>
      <c r="D33" s="1" t="inlineStr">
        <is>
          <t>Books</t>
        </is>
      </c>
      <c r="E33" s="2" t="n">
        <v>1023.21</v>
      </c>
      <c r="F33" s="2" t="n">
        <v>18</v>
      </c>
      <c r="G33" s="2" t="n">
        <v>0.05</v>
      </c>
      <c r="H33" s="3" t="n">
        <v>45428</v>
      </c>
      <c r="I33" s="5" t="n">
        <v>388.82</v>
      </c>
      <c r="J33" s="15">
        <f>NOW()</f>
        <v/>
      </c>
      <c r="K33" s="17">
        <f>DATE(YEAR(H33),MONTH(H33),1)</f>
        <v/>
      </c>
    </row>
    <row r="34" ht="15" customHeight="1" thickBot="1">
      <c r="A34" s="4" t="inlineStr">
        <is>
          <t>CUST001</t>
        </is>
      </c>
      <c r="B34" s="1" t="inlineStr">
        <is>
          <t>Mary Jackson</t>
        </is>
      </c>
      <c r="C34" s="1" t="inlineStr">
        <is>
          <t>West</t>
        </is>
      </c>
      <c r="D34" s="1" t="inlineStr">
        <is>
          <t>Furniture</t>
        </is>
      </c>
      <c r="E34" s="2" t="n">
        <v>853.72</v>
      </c>
      <c r="F34" s="2" t="n">
        <v>5</v>
      </c>
      <c r="G34" s="2" t="n">
        <v>0.15</v>
      </c>
      <c r="H34" s="3" t="n">
        <v>45428</v>
      </c>
      <c r="I34" s="5" t="n">
        <v>253.98</v>
      </c>
      <c r="J34" s="15">
        <f>NOW()</f>
        <v/>
      </c>
      <c r="K34" s="17">
        <f>DATE(YEAR(H34),MONTH(H34),1)</f>
        <v/>
      </c>
    </row>
    <row r="35" ht="15" customHeight="1" thickBot="1">
      <c r="A35" s="4" t="inlineStr">
        <is>
          <t>CUST021</t>
        </is>
      </c>
      <c r="B35" s="1" t="inlineStr">
        <is>
          <t>Sarah Anderson</t>
        </is>
      </c>
      <c r="C35" s="1" t="inlineStr">
        <is>
          <t>South</t>
        </is>
      </c>
      <c r="D35" s="1" t="inlineStr">
        <is>
          <t>Electronics</t>
        </is>
      </c>
      <c r="E35" s="2" t="n">
        <v>967.89</v>
      </c>
      <c r="F35" s="2" t="n">
        <v>10</v>
      </c>
      <c r="G35" s="2" t="n">
        <v>0.1</v>
      </c>
      <c r="H35" s="3" t="n">
        <v>45429</v>
      </c>
      <c r="I35" s="5" t="n">
        <v>217.78</v>
      </c>
      <c r="J35" s="15">
        <f>NOW()</f>
        <v/>
      </c>
      <c r="K35" s="17">
        <f>DATE(YEAR(H35),MONTH(H35),1)</f>
        <v/>
      </c>
    </row>
    <row r="36" ht="15" customHeight="1" thickBot="1">
      <c r="A36" s="4" t="inlineStr">
        <is>
          <t>CUST015</t>
        </is>
      </c>
      <c r="B36" s="1" t="inlineStr">
        <is>
          <t>Linda Taylor</t>
        </is>
      </c>
      <c r="C36" s="1" t="inlineStr">
        <is>
          <t>North</t>
        </is>
      </c>
      <c r="D36" s="1" t="inlineStr">
        <is>
          <t>Office Supplies</t>
        </is>
      </c>
      <c r="E36" s="2" t="n">
        <v>1200.9</v>
      </c>
      <c r="F36" s="2" t="n">
        <v>14</v>
      </c>
      <c r="G36" s="2" t="n">
        <v>0.05</v>
      </c>
      <c r="H36" s="3" t="n">
        <v>45429</v>
      </c>
      <c r="I36" s="5" t="n">
        <v>513.38</v>
      </c>
      <c r="J36" s="15">
        <f>NOW()</f>
        <v/>
      </c>
      <c r="K36" s="17">
        <f>DATE(YEAR(H36),MONTH(H36),1)</f>
        <v/>
      </c>
    </row>
    <row r="37" ht="15" customHeight="1" thickBot="1">
      <c r="A37" s="4" t="inlineStr">
        <is>
          <t>CUST012</t>
        </is>
      </c>
      <c r="B37" s="1" t="inlineStr">
        <is>
          <t>Michael Anderson</t>
        </is>
      </c>
      <c r="C37" s="1" t="inlineStr">
        <is>
          <t>West</t>
        </is>
      </c>
      <c r="D37" s="1" t="inlineStr">
        <is>
          <t>Books</t>
        </is>
      </c>
      <c r="E37" s="2" t="n">
        <v>472.38</v>
      </c>
      <c r="F37" s="2" t="n">
        <v>12</v>
      </c>
      <c r="G37" s="2" t="n">
        <v>0.2</v>
      </c>
      <c r="H37" s="3" t="n">
        <v>45429</v>
      </c>
      <c r="I37" s="5" t="n">
        <v>151.16</v>
      </c>
      <c r="J37" s="15">
        <f>NOW()</f>
        <v/>
      </c>
      <c r="K37" s="17">
        <f>DATE(YEAR(H37),MONTH(H37),1)</f>
        <v/>
      </c>
    </row>
    <row r="38" ht="15" customHeight="1" thickBot="1">
      <c r="A38" s="4" t="inlineStr">
        <is>
          <t>CUST019</t>
        </is>
      </c>
      <c r="B38" s="1" t="inlineStr">
        <is>
          <t>David Brown</t>
        </is>
      </c>
      <c r="C38" s="1" t="inlineStr">
        <is>
          <t>East</t>
        </is>
      </c>
      <c r="D38" s="1" t="inlineStr">
        <is>
          <t>Office Supplies</t>
        </is>
      </c>
      <c r="E38" s="2" t="n">
        <v>840.92</v>
      </c>
      <c r="F38" s="2" t="n">
        <v>9</v>
      </c>
      <c r="G38" s="2" t="n">
        <v>0.05</v>
      </c>
      <c r="H38" s="3" t="n">
        <v>45429</v>
      </c>
      <c r="I38" s="5" t="n">
        <v>359.49</v>
      </c>
      <c r="J38" s="15">
        <f>NOW()</f>
        <v/>
      </c>
      <c r="K38" s="17">
        <f>DATE(YEAR(H38),MONTH(H38),1)</f>
        <v/>
      </c>
    </row>
    <row r="39" ht="15" customHeight="1" thickBot="1">
      <c r="A39" s="4" t="inlineStr">
        <is>
          <t>CUST028</t>
        </is>
      </c>
      <c r="B39" s="1" t="inlineStr">
        <is>
          <t>Lisa Davis</t>
        </is>
      </c>
      <c r="C39" s="1" t="inlineStr">
        <is>
          <t>Central</t>
        </is>
      </c>
      <c r="D39" s="1" t="inlineStr">
        <is>
          <t>Furniture</t>
        </is>
      </c>
      <c r="E39" s="2" t="n">
        <v>1410.06</v>
      </c>
      <c r="F39" s="2" t="n">
        <v>11</v>
      </c>
      <c r="G39" s="2" t="n">
        <v>0.05</v>
      </c>
      <c r="H39" s="3" t="n">
        <v>45434</v>
      </c>
      <c r="I39" s="5" t="n">
        <v>468.84</v>
      </c>
      <c r="J39" s="15">
        <f>NOW()</f>
        <v/>
      </c>
      <c r="K39" s="17">
        <f>DATE(YEAR(H39),MONTH(H39),1)</f>
        <v/>
      </c>
    </row>
    <row r="40" ht="15" customHeight="1" thickBot="1">
      <c r="A40" s="4" t="inlineStr">
        <is>
          <t>CUST008</t>
        </is>
      </c>
      <c r="B40" s="1" t="inlineStr">
        <is>
          <t>Mary Wilson</t>
        </is>
      </c>
      <c r="C40" s="1" t="inlineStr">
        <is>
          <t>Central</t>
        </is>
      </c>
      <c r="D40" s="1" t="inlineStr">
        <is>
          <t>Furniture</t>
        </is>
      </c>
      <c r="E40" s="2" t="n">
        <v>773.09</v>
      </c>
      <c r="F40" s="2" t="n">
        <v>13</v>
      </c>
      <c r="G40" s="2" t="n">
        <v>0.15</v>
      </c>
      <c r="H40" s="3" t="n">
        <v>45434</v>
      </c>
      <c r="I40" s="5" t="n">
        <v>229.99</v>
      </c>
      <c r="J40" s="15">
        <f>NOW()</f>
        <v/>
      </c>
      <c r="K40" s="17">
        <f>DATE(YEAR(H40),MONTH(H40),1)</f>
        <v/>
      </c>
    </row>
    <row r="41" ht="15" customHeight="1" thickBot="1">
      <c r="A41" s="4" t="inlineStr">
        <is>
          <t>CUST016</t>
        </is>
      </c>
      <c r="B41" s="1" t="inlineStr">
        <is>
          <t>Emma Wilson</t>
        </is>
      </c>
      <c r="C41" s="1" t="inlineStr">
        <is>
          <t>East</t>
        </is>
      </c>
      <c r="D41" s="1" t="inlineStr">
        <is>
          <t>Books</t>
        </is>
      </c>
      <c r="E41" s="2" t="n">
        <v>580.4299999999999</v>
      </c>
      <c r="F41" s="2" t="n">
        <v>19</v>
      </c>
      <c r="G41" s="2" t="n">
        <v>0.15</v>
      </c>
      <c r="H41" s="3" t="n">
        <v>45435</v>
      </c>
      <c r="I41" s="5" t="n">
        <v>197.35</v>
      </c>
      <c r="J41" s="15">
        <f>NOW()</f>
        <v/>
      </c>
      <c r="K41" s="17">
        <f>DATE(YEAR(H41),MONTH(H41),1)</f>
        <v/>
      </c>
    </row>
    <row r="42" ht="15" customHeight="1" thickBot="1">
      <c r="A42" s="4" t="inlineStr">
        <is>
          <t>CUST005</t>
        </is>
      </c>
      <c r="B42" s="1" t="inlineStr">
        <is>
          <t>David Smith</t>
        </is>
      </c>
      <c r="C42" s="1" t="inlineStr">
        <is>
          <t>South</t>
        </is>
      </c>
      <c r="D42" s="1" t="inlineStr">
        <is>
          <t>Books</t>
        </is>
      </c>
      <c r="E42" s="2" t="n">
        <v>1151.21</v>
      </c>
      <c r="F42" s="2" t="n">
        <v>15</v>
      </c>
      <c r="G42" s="2" t="n">
        <v>0.1</v>
      </c>
      <c r="H42" s="3" t="n">
        <v>45445</v>
      </c>
      <c r="I42" s="5" t="n">
        <v>414.44</v>
      </c>
      <c r="J42" s="15">
        <f>NOW()</f>
        <v/>
      </c>
      <c r="K42" s="17">
        <f>DATE(YEAR(H42),MONTH(H42),1)</f>
        <v/>
      </c>
    </row>
    <row r="43" ht="15" customHeight="1" thickBot="1">
      <c r="A43" s="4" t="inlineStr">
        <is>
          <t>CUST028</t>
        </is>
      </c>
      <c r="B43" s="1" t="inlineStr">
        <is>
          <t>James Wilson</t>
        </is>
      </c>
      <c r="C43" s="1" t="inlineStr">
        <is>
          <t>Central</t>
        </is>
      </c>
      <c r="D43" s="1" t="inlineStr">
        <is>
          <t>Office Supplies</t>
        </is>
      </c>
      <c r="E43" s="2" t="n">
        <v>1025.98</v>
      </c>
      <c r="F43" s="2" t="n">
        <v>5</v>
      </c>
      <c r="G43" s="2" t="n">
        <v>0.2</v>
      </c>
      <c r="H43" s="3" t="n">
        <v>45447</v>
      </c>
      <c r="I43" s="5" t="n">
        <v>369.35</v>
      </c>
      <c r="J43" s="15">
        <f>NOW()</f>
        <v/>
      </c>
      <c r="K43" s="17">
        <f>DATE(YEAR(H43),MONTH(H43),1)</f>
        <v/>
      </c>
    </row>
    <row r="44" ht="15" customHeight="1" thickBot="1">
      <c r="A44" s="4" t="inlineStr">
        <is>
          <t>CUST023</t>
        </is>
      </c>
      <c r="B44" s="1" t="inlineStr">
        <is>
          <t>David Davis</t>
        </is>
      </c>
      <c r="C44" s="1" t="inlineStr">
        <is>
          <t>East</t>
        </is>
      </c>
      <c r="D44" s="1" t="inlineStr">
        <is>
          <t>Office Supplies</t>
        </is>
      </c>
      <c r="E44" s="2" t="n">
        <v>556.42</v>
      </c>
      <c r="F44" s="2" t="n">
        <v>11</v>
      </c>
      <c r="G44" s="2" t="n">
        <v>0.15</v>
      </c>
      <c r="H44" s="3" t="n">
        <v>45447</v>
      </c>
      <c r="I44" s="5" t="n">
        <v>212.83</v>
      </c>
      <c r="J44" s="15">
        <f>NOW()</f>
        <v/>
      </c>
      <c r="K44" s="17">
        <f>DATE(YEAR(H44),MONTH(H44),1)</f>
        <v/>
      </c>
    </row>
    <row r="45" ht="15" customHeight="1" thickBot="1">
      <c r="A45" s="4" t="inlineStr">
        <is>
          <t>CUST021</t>
        </is>
      </c>
      <c r="B45" s="1" t="inlineStr">
        <is>
          <t>James Wilson</t>
        </is>
      </c>
      <c r="C45" s="1" t="inlineStr">
        <is>
          <t>Central</t>
        </is>
      </c>
      <c r="D45" s="1" t="inlineStr">
        <is>
          <t>Books</t>
        </is>
      </c>
      <c r="E45" s="2" t="n">
        <v>840.85</v>
      </c>
      <c r="F45" s="2" t="n">
        <v>19</v>
      </c>
      <c r="G45" s="2" t="n">
        <v>0.1</v>
      </c>
      <c r="H45" s="3" t="n">
        <v>45448</v>
      </c>
      <c r="I45" s="5" t="n">
        <v>302.71</v>
      </c>
      <c r="J45" s="15">
        <f>NOW()</f>
        <v/>
      </c>
      <c r="K45" s="17">
        <f>DATE(YEAR(H45),MONTH(H45),1)</f>
        <v/>
      </c>
    </row>
    <row r="46" ht="15" customHeight="1" thickBot="1">
      <c r="A46" s="4" t="inlineStr">
        <is>
          <t>CUST026</t>
        </is>
      </c>
      <c r="B46" s="1" t="inlineStr">
        <is>
          <t>Emma Wilson</t>
        </is>
      </c>
      <c r="C46" s="1" t="inlineStr">
        <is>
          <t>North</t>
        </is>
      </c>
      <c r="D46" s="1" t="inlineStr">
        <is>
          <t>Furniture</t>
        </is>
      </c>
      <c r="E46" s="2" t="n">
        <v>1227.25</v>
      </c>
      <c r="F46" s="2" t="n">
        <v>12</v>
      </c>
      <c r="G46" s="2" t="n">
        <v>0.15</v>
      </c>
      <c r="H46" s="3" t="n">
        <v>45448</v>
      </c>
      <c r="I46" s="5" t="n">
        <v>365.11</v>
      </c>
      <c r="J46" s="15">
        <f>NOW()</f>
        <v/>
      </c>
      <c r="K46" s="17">
        <f>DATE(YEAR(H46),MONTH(H46),1)</f>
        <v/>
      </c>
    </row>
    <row r="47" ht="15" customHeight="1" thickBot="1">
      <c r="A47" s="4" t="inlineStr">
        <is>
          <t>CUST017</t>
        </is>
      </c>
      <c r="B47" s="1" t="inlineStr">
        <is>
          <t>Linda Davis</t>
        </is>
      </c>
      <c r="C47" s="1" t="inlineStr">
        <is>
          <t>Central</t>
        </is>
      </c>
      <c r="D47" s="1" t="inlineStr">
        <is>
          <t>Electronics</t>
        </is>
      </c>
      <c r="E47" s="2" t="n">
        <v>856.7</v>
      </c>
      <c r="F47" s="2" t="n">
        <v>2</v>
      </c>
      <c r="G47" s="2" t="n">
        <v>0</v>
      </c>
      <c r="H47" s="3" t="n">
        <v>45449</v>
      </c>
      <c r="I47" s="5" t="n">
        <v>214.18</v>
      </c>
      <c r="J47" s="15">
        <f>NOW()</f>
        <v/>
      </c>
      <c r="K47" s="17">
        <f>DATE(YEAR(H47),MONTH(H47),1)</f>
        <v/>
      </c>
    </row>
    <row r="48" ht="15" customHeight="1" thickBot="1">
      <c r="A48" s="4" t="inlineStr">
        <is>
          <t>CUST025</t>
        </is>
      </c>
      <c r="B48" s="1" t="inlineStr">
        <is>
          <t>David Davis</t>
        </is>
      </c>
      <c r="C48" s="1" t="inlineStr">
        <is>
          <t>Central</t>
        </is>
      </c>
      <c r="D48" s="1" t="inlineStr">
        <is>
          <t>Office Supplies</t>
        </is>
      </c>
      <c r="E48" s="2" t="n">
        <v>1225.42</v>
      </c>
      <c r="F48" s="2" t="n">
        <v>8</v>
      </c>
      <c r="G48" s="2" t="n">
        <v>0.15</v>
      </c>
      <c r="H48" s="3" t="n">
        <v>45449</v>
      </c>
      <c r="I48" s="5" t="n">
        <v>468.72</v>
      </c>
      <c r="J48" s="15">
        <f>NOW()</f>
        <v/>
      </c>
      <c r="K48" s="17">
        <f>DATE(YEAR(H48),MONTH(H48),1)</f>
        <v/>
      </c>
    </row>
    <row r="49" ht="15" customHeight="1" thickBot="1">
      <c r="A49" s="4" t="inlineStr">
        <is>
          <t>CUST011</t>
        </is>
      </c>
      <c r="B49" s="1" t="inlineStr">
        <is>
          <t>Mary Davis</t>
        </is>
      </c>
      <c r="C49" s="1" t="inlineStr">
        <is>
          <t>North</t>
        </is>
      </c>
      <c r="D49" s="1" t="inlineStr">
        <is>
          <t>Office Supplies</t>
        </is>
      </c>
      <c r="E49" s="2" t="n">
        <v>1001.57</v>
      </c>
      <c r="F49" s="2" t="n">
        <v>12</v>
      </c>
      <c r="G49" s="2" t="n">
        <v>0</v>
      </c>
      <c r="H49" s="3" t="n">
        <v>45450</v>
      </c>
      <c r="I49" s="5" t="n">
        <v>450.71</v>
      </c>
      <c r="J49" s="15">
        <f>NOW()</f>
        <v/>
      </c>
      <c r="K49" s="17">
        <f>DATE(YEAR(H49),MONTH(H49),1)</f>
        <v/>
      </c>
    </row>
    <row r="50" ht="15" customHeight="1" thickBot="1">
      <c r="A50" s="4" t="inlineStr">
        <is>
          <t>CUST021</t>
        </is>
      </c>
      <c r="B50" s="1" t="inlineStr">
        <is>
          <t>Michael Anderson</t>
        </is>
      </c>
      <c r="C50" s="1" t="inlineStr">
        <is>
          <t>East</t>
        </is>
      </c>
      <c r="D50" s="1" t="inlineStr">
        <is>
          <t>Furniture</t>
        </is>
      </c>
      <c r="E50" s="2" t="n">
        <v>1186.85</v>
      </c>
      <c r="F50" s="2" t="n">
        <v>19</v>
      </c>
      <c r="G50" s="2" t="n">
        <v>0.2</v>
      </c>
      <c r="H50" s="3" t="n">
        <v>45451</v>
      </c>
      <c r="I50" s="5" t="n">
        <v>332.32</v>
      </c>
      <c r="J50" s="15">
        <f>NOW()</f>
        <v/>
      </c>
      <c r="K50" s="17">
        <f>DATE(YEAR(H50),MONTH(H50),1)</f>
        <v/>
      </c>
    </row>
    <row r="51" ht="15" customHeight="1" thickBot="1">
      <c r="A51" s="4" t="inlineStr">
        <is>
          <t>CUST008</t>
        </is>
      </c>
      <c r="B51" s="1" t="inlineStr">
        <is>
          <t>John Brown</t>
        </is>
      </c>
      <c r="C51" s="1" t="inlineStr">
        <is>
          <t>South</t>
        </is>
      </c>
      <c r="D51" s="1" t="inlineStr">
        <is>
          <t>Electronics</t>
        </is>
      </c>
      <c r="E51" s="2" t="n">
        <v>775.45</v>
      </c>
      <c r="F51" s="2" t="n">
        <v>6</v>
      </c>
      <c r="G51" s="2" t="n">
        <v>0.1</v>
      </c>
      <c r="H51" s="3" t="n">
        <v>45457</v>
      </c>
      <c r="I51" s="5" t="n">
        <v>174.48</v>
      </c>
      <c r="J51" s="15">
        <f>NOW()</f>
        <v/>
      </c>
      <c r="K51" s="17">
        <f>DATE(YEAR(H51),MONTH(H51),1)</f>
        <v/>
      </c>
    </row>
    <row r="52" ht="15" customHeight="1" thickBot="1">
      <c r="A52" s="4" t="inlineStr">
        <is>
          <t>CUST007</t>
        </is>
      </c>
      <c r="B52" s="1" t="inlineStr">
        <is>
          <t>Linda Jackson</t>
        </is>
      </c>
      <c r="C52" s="1" t="inlineStr">
        <is>
          <t>South</t>
        </is>
      </c>
      <c r="D52" s="1" t="inlineStr">
        <is>
          <t>Electronics</t>
        </is>
      </c>
      <c r="E52" s="2" t="n">
        <v>1021.47</v>
      </c>
      <c r="F52" s="2" t="n">
        <v>6</v>
      </c>
      <c r="G52" s="2" t="n">
        <v>0.05</v>
      </c>
      <c r="H52" s="3" t="n">
        <v>45461</v>
      </c>
      <c r="I52" s="5" t="n">
        <v>242.6</v>
      </c>
      <c r="J52" s="15">
        <f>NOW()</f>
        <v/>
      </c>
      <c r="K52" s="17">
        <f>DATE(YEAR(H52),MONTH(H52),1)</f>
        <v/>
      </c>
    </row>
    <row r="53" ht="15" customHeight="1" thickBot="1">
      <c r="A53" s="4" t="inlineStr">
        <is>
          <t>CUST015</t>
        </is>
      </c>
      <c r="B53" s="1" t="inlineStr">
        <is>
          <t>James Wilson</t>
        </is>
      </c>
      <c r="C53" s="1" t="inlineStr">
        <is>
          <t>South</t>
        </is>
      </c>
      <c r="D53" s="1" t="inlineStr">
        <is>
          <t>Clothing</t>
        </is>
      </c>
      <c r="E53" s="2" t="n">
        <v>1226.62</v>
      </c>
      <c r="F53" s="2" t="n">
        <v>7</v>
      </c>
      <c r="G53" s="2" t="n">
        <v>0.1</v>
      </c>
      <c r="H53" s="3" t="n">
        <v>45463</v>
      </c>
      <c r="I53" s="5" t="n">
        <v>551.98</v>
      </c>
      <c r="J53" s="15">
        <f>NOW()</f>
        <v/>
      </c>
      <c r="K53" s="17">
        <f>DATE(YEAR(H53),MONTH(H53),1)</f>
        <v/>
      </c>
    </row>
    <row r="54" ht="15" customHeight="1" thickBot="1">
      <c r="A54" s="4" t="inlineStr">
        <is>
          <t>CUST030</t>
        </is>
      </c>
      <c r="B54" s="1" t="inlineStr">
        <is>
          <t>Sarah Davis</t>
        </is>
      </c>
      <c r="C54" s="1" t="inlineStr">
        <is>
          <t>South</t>
        </is>
      </c>
      <c r="D54" s="1" t="inlineStr">
        <is>
          <t>Furniture</t>
        </is>
      </c>
      <c r="E54" s="2" t="n">
        <v>1086.93</v>
      </c>
      <c r="F54" s="2" t="n">
        <v>2</v>
      </c>
      <c r="G54" s="2" t="n">
        <v>0</v>
      </c>
      <c r="H54" s="3" t="n">
        <v>45464</v>
      </c>
      <c r="I54" s="5" t="n">
        <v>380.43</v>
      </c>
      <c r="J54" s="15">
        <f>NOW()</f>
        <v/>
      </c>
      <c r="K54" s="17">
        <f>DATE(YEAR(H54),MONTH(H54),1)</f>
        <v/>
      </c>
    </row>
    <row r="55" ht="15" customHeight="1" thickBot="1">
      <c r="A55" s="4" t="inlineStr">
        <is>
          <t>CUST002</t>
        </is>
      </c>
      <c r="B55" s="1" t="inlineStr">
        <is>
          <t>Lisa Davis</t>
        </is>
      </c>
      <c r="C55" s="1" t="inlineStr">
        <is>
          <t>West</t>
        </is>
      </c>
      <c r="D55" s="1" t="inlineStr">
        <is>
          <t>Books</t>
        </is>
      </c>
      <c r="E55" s="2" t="n">
        <v>942.9</v>
      </c>
      <c r="F55" s="2" t="n">
        <v>18</v>
      </c>
      <c r="G55" s="2" t="n">
        <v>0.1</v>
      </c>
      <c r="H55" s="3" t="n">
        <v>45466</v>
      </c>
      <c r="I55" s="5" t="n">
        <v>339.44</v>
      </c>
      <c r="J55" s="15">
        <f>NOW()</f>
        <v/>
      </c>
      <c r="K55" s="17">
        <f>DATE(YEAR(H55),MONTH(H55),1)</f>
        <v/>
      </c>
    </row>
    <row r="56" ht="15" customHeight="1" thickBot="1">
      <c r="A56" s="4" t="inlineStr">
        <is>
          <t>CUST009</t>
        </is>
      </c>
      <c r="B56" s="1" t="inlineStr">
        <is>
          <t>Emma Davis</t>
        </is>
      </c>
      <c r="C56" s="1" t="inlineStr">
        <is>
          <t>North</t>
        </is>
      </c>
      <c r="D56" s="1" t="inlineStr">
        <is>
          <t>Electronics</t>
        </is>
      </c>
      <c r="E56" s="2" t="n">
        <v>818.8</v>
      </c>
      <c r="F56" s="2" t="n">
        <v>15</v>
      </c>
      <c r="G56" s="2" t="n">
        <v>0.15</v>
      </c>
      <c r="H56" s="3" t="n">
        <v>45468</v>
      </c>
      <c r="I56" s="5" t="n">
        <v>173.99</v>
      </c>
      <c r="J56" s="15">
        <f>NOW()</f>
        <v/>
      </c>
      <c r="K56" s="17">
        <f>DATE(YEAR(H56),MONTH(H56),1)</f>
        <v/>
      </c>
    </row>
    <row r="57" ht="15" customHeight="1" thickBot="1">
      <c r="A57" s="4" t="inlineStr">
        <is>
          <t>CUST005</t>
        </is>
      </c>
      <c r="B57" s="1" t="inlineStr">
        <is>
          <t>Robert Anderson</t>
        </is>
      </c>
      <c r="C57" s="1" t="inlineStr">
        <is>
          <t>South</t>
        </is>
      </c>
      <c r="D57" s="1" t="inlineStr">
        <is>
          <t>Furniture</t>
        </is>
      </c>
      <c r="E57" s="2" t="n">
        <v>919.04</v>
      </c>
      <c r="F57" s="2" t="n">
        <v>10</v>
      </c>
      <c r="G57" s="2" t="n">
        <v>0.2</v>
      </c>
      <c r="H57" s="3" t="n">
        <v>45468</v>
      </c>
      <c r="I57" s="5" t="n">
        <v>257.33</v>
      </c>
      <c r="J57" s="15">
        <f>NOW()</f>
        <v/>
      </c>
      <c r="K57" s="17">
        <f>DATE(YEAR(H57),MONTH(H57),1)</f>
        <v/>
      </c>
    </row>
    <row r="58" ht="15" customHeight="1" thickBot="1">
      <c r="A58" s="4" t="inlineStr">
        <is>
          <t>CUST030</t>
        </is>
      </c>
      <c r="B58" s="1" t="inlineStr">
        <is>
          <t>Emma Taylor</t>
        </is>
      </c>
      <c r="C58" s="1" t="inlineStr">
        <is>
          <t>Central</t>
        </is>
      </c>
      <c r="D58" s="1" t="inlineStr">
        <is>
          <t>Books</t>
        </is>
      </c>
      <c r="E58" s="2" t="n">
        <v>973.26</v>
      </c>
      <c r="F58" s="2" t="n">
        <v>11</v>
      </c>
      <c r="G58" s="2" t="n">
        <v>0</v>
      </c>
      <c r="H58" s="3" t="n">
        <v>45470</v>
      </c>
      <c r="I58" s="5" t="n">
        <v>389.3</v>
      </c>
      <c r="J58" s="15">
        <f>NOW()</f>
        <v/>
      </c>
      <c r="K58" s="17">
        <f>DATE(YEAR(H58),MONTH(H58),1)</f>
        <v/>
      </c>
    </row>
    <row r="59" ht="15" customHeight="1" thickBot="1">
      <c r="A59" s="4" t="inlineStr">
        <is>
          <t>CUST029</t>
        </is>
      </c>
      <c r="B59" s="1" t="inlineStr">
        <is>
          <t>Sarah Davis</t>
        </is>
      </c>
      <c r="C59" s="1" t="inlineStr">
        <is>
          <t>North</t>
        </is>
      </c>
      <c r="D59" s="1" t="inlineStr">
        <is>
          <t>Electronics</t>
        </is>
      </c>
      <c r="E59" s="2" t="n">
        <v>741.61</v>
      </c>
      <c r="F59" s="2" t="n">
        <v>1</v>
      </c>
      <c r="G59" s="2" t="n">
        <v>0.2</v>
      </c>
      <c r="H59" s="3" t="n">
        <v>45471</v>
      </c>
      <c r="I59" s="5" t="n">
        <v>148.32</v>
      </c>
      <c r="J59" s="15">
        <f>NOW()</f>
        <v/>
      </c>
      <c r="K59" s="17">
        <f>DATE(YEAR(H59),MONTH(H59),1)</f>
        <v/>
      </c>
    </row>
    <row r="60" ht="15" customHeight="1" thickBot="1">
      <c r="A60" s="4" t="inlineStr">
        <is>
          <t>CUST003</t>
        </is>
      </c>
      <c r="B60" s="1" t="inlineStr">
        <is>
          <t>Emma Davis</t>
        </is>
      </c>
      <c r="C60" s="1" t="inlineStr">
        <is>
          <t>North</t>
        </is>
      </c>
      <c r="D60" s="1" t="inlineStr">
        <is>
          <t>Books</t>
        </is>
      </c>
      <c r="E60" s="2" t="n">
        <v>1248.82</v>
      </c>
      <c r="F60" s="2" t="n">
        <v>2</v>
      </c>
      <c r="G60" s="2" t="n">
        <v>0.1</v>
      </c>
      <c r="H60" s="3" t="n">
        <v>45473</v>
      </c>
      <c r="I60" s="5" t="n">
        <v>449.58</v>
      </c>
      <c r="J60" s="15">
        <f>NOW()</f>
        <v/>
      </c>
      <c r="K60" s="17">
        <f>DATE(YEAR(H60),MONTH(H60),1)</f>
        <v/>
      </c>
    </row>
    <row r="61" ht="15" customHeight="1" thickBot="1">
      <c r="A61" s="4" t="inlineStr">
        <is>
          <t>CUST012</t>
        </is>
      </c>
      <c r="B61" s="1" t="inlineStr">
        <is>
          <t>Mary Wilson</t>
        </is>
      </c>
      <c r="C61" s="1" t="inlineStr">
        <is>
          <t>West</t>
        </is>
      </c>
      <c r="D61" s="1" t="inlineStr">
        <is>
          <t>Clothing</t>
        </is>
      </c>
      <c r="E61" s="2" t="n">
        <v>1360.36</v>
      </c>
      <c r="F61" s="2" t="n">
        <v>17</v>
      </c>
      <c r="G61" s="2" t="n">
        <v>0</v>
      </c>
      <c r="H61" s="3" t="n">
        <v>45473</v>
      </c>
      <c r="I61" s="5" t="n">
        <v>680.1799999999999</v>
      </c>
      <c r="J61" s="15">
        <f>NOW()</f>
        <v/>
      </c>
      <c r="K61" s="17">
        <f>DATE(YEAR(H61),MONTH(H61),1)</f>
        <v/>
      </c>
    </row>
    <row r="62" ht="15" customHeight="1" thickBot="1">
      <c r="A62" s="4" t="inlineStr">
        <is>
          <t>CUST021</t>
        </is>
      </c>
      <c r="B62" s="1" t="inlineStr">
        <is>
          <t>Mary Davis</t>
        </is>
      </c>
      <c r="C62" s="1" t="inlineStr">
        <is>
          <t>East</t>
        </is>
      </c>
      <c r="D62" s="1" t="inlineStr">
        <is>
          <t>Books</t>
        </is>
      </c>
      <c r="E62" s="2" t="n">
        <v>1383.3</v>
      </c>
      <c r="F62" s="2" t="n">
        <v>8</v>
      </c>
      <c r="G62" s="2" t="n">
        <v>0.1</v>
      </c>
      <c r="H62" s="3" t="n">
        <v>45478</v>
      </c>
      <c r="I62" s="5" t="n">
        <v>497.99</v>
      </c>
      <c r="J62" s="15">
        <f>NOW()</f>
        <v/>
      </c>
      <c r="K62" s="17">
        <f>DATE(YEAR(H62),MONTH(H62),1)</f>
        <v/>
      </c>
    </row>
    <row r="63" ht="15" customHeight="1" thickBot="1">
      <c r="A63" s="4" t="inlineStr">
        <is>
          <t>CUST010</t>
        </is>
      </c>
      <c r="B63" s="1" t="inlineStr">
        <is>
          <t>David Brown</t>
        </is>
      </c>
      <c r="C63" s="1" t="inlineStr">
        <is>
          <t>Central</t>
        </is>
      </c>
      <c r="D63" s="1" t="inlineStr">
        <is>
          <t>Office Supplies</t>
        </is>
      </c>
      <c r="E63" s="2" t="n">
        <v>488.99</v>
      </c>
      <c r="F63" s="2" t="n">
        <v>9</v>
      </c>
      <c r="G63" s="2" t="n">
        <v>0</v>
      </c>
      <c r="H63" s="3" t="n">
        <v>45479</v>
      </c>
      <c r="I63" s="5" t="n">
        <v>220.05</v>
      </c>
      <c r="J63" s="15">
        <f>NOW()</f>
        <v/>
      </c>
      <c r="K63" s="17">
        <f>DATE(YEAR(H63),MONTH(H63),1)</f>
        <v/>
      </c>
    </row>
    <row r="64" ht="15" customHeight="1" thickBot="1">
      <c r="A64" s="4" t="inlineStr">
        <is>
          <t>CUST026</t>
        </is>
      </c>
      <c r="B64" s="1" t="inlineStr">
        <is>
          <t>Mary Davis</t>
        </is>
      </c>
      <c r="C64" s="1" t="inlineStr">
        <is>
          <t>East</t>
        </is>
      </c>
      <c r="D64" s="1" t="inlineStr">
        <is>
          <t>Furniture</t>
        </is>
      </c>
      <c r="E64" s="2" t="n">
        <v>933.71</v>
      </c>
      <c r="F64" s="2" t="n">
        <v>17</v>
      </c>
      <c r="G64" s="2" t="n">
        <v>0.1</v>
      </c>
      <c r="H64" s="3" t="n">
        <v>45481</v>
      </c>
      <c r="I64" s="5" t="n">
        <v>294.12</v>
      </c>
      <c r="J64" s="15">
        <f>NOW()</f>
        <v/>
      </c>
      <c r="K64" s="17">
        <f>DATE(YEAR(H64),MONTH(H64),1)</f>
        <v/>
      </c>
    </row>
    <row r="65" ht="15" customHeight="1" thickBot="1">
      <c r="A65" s="4" t="inlineStr">
        <is>
          <t>CUST003</t>
        </is>
      </c>
      <c r="B65" s="1" t="inlineStr">
        <is>
          <t>James Davis</t>
        </is>
      </c>
      <c r="C65" s="1" t="inlineStr">
        <is>
          <t>West</t>
        </is>
      </c>
      <c r="D65" s="1" t="inlineStr">
        <is>
          <t>Electronics</t>
        </is>
      </c>
      <c r="E65" s="2" t="n">
        <v>1005.53</v>
      </c>
      <c r="F65" s="2" t="n">
        <v>17</v>
      </c>
      <c r="G65" s="2" t="n">
        <v>0.2</v>
      </c>
      <c r="H65" s="3" t="n">
        <v>45481</v>
      </c>
      <c r="I65" s="5" t="n">
        <v>201.11</v>
      </c>
      <c r="J65" s="15">
        <f>NOW()</f>
        <v/>
      </c>
      <c r="K65" s="17">
        <f>DATE(YEAR(H65),MONTH(H65),1)</f>
        <v/>
      </c>
    </row>
    <row r="66" ht="15" customHeight="1" thickBot="1">
      <c r="A66" s="4" t="inlineStr">
        <is>
          <t>CUST029</t>
        </is>
      </c>
      <c r="B66" s="1" t="inlineStr">
        <is>
          <t>Emma Wilson</t>
        </is>
      </c>
      <c r="C66" s="1" t="inlineStr">
        <is>
          <t>South</t>
        </is>
      </c>
      <c r="D66" s="1" t="inlineStr">
        <is>
          <t>Electronics</t>
        </is>
      </c>
      <c r="E66" s="2" t="n">
        <v>1100.1</v>
      </c>
      <c r="F66" s="2" t="n">
        <v>5</v>
      </c>
      <c r="G66" s="2" t="n">
        <v>0.05</v>
      </c>
      <c r="H66" s="3" t="n">
        <v>45482</v>
      </c>
      <c r="I66" s="5" t="n">
        <v>261.27</v>
      </c>
      <c r="J66" s="15">
        <f>NOW()</f>
        <v/>
      </c>
      <c r="K66" s="17">
        <f>DATE(YEAR(H66),MONTH(H66),1)</f>
        <v/>
      </c>
    </row>
    <row r="67" ht="15" customHeight="1" thickBot="1">
      <c r="A67" s="4" t="inlineStr">
        <is>
          <t>CUST003</t>
        </is>
      </c>
      <c r="B67" s="1" t="inlineStr">
        <is>
          <t>James Wilson</t>
        </is>
      </c>
      <c r="C67" s="1" t="inlineStr">
        <is>
          <t>North</t>
        </is>
      </c>
      <c r="D67" s="1" t="inlineStr">
        <is>
          <t>Furniture</t>
        </is>
      </c>
      <c r="E67" s="2" t="n">
        <v>1034.7</v>
      </c>
      <c r="F67" s="2" t="n">
        <v>15</v>
      </c>
      <c r="G67" s="2" t="n">
        <v>0.15</v>
      </c>
      <c r="H67" s="3" t="n">
        <v>45487</v>
      </c>
      <c r="I67" s="5" t="n">
        <v>307.82</v>
      </c>
      <c r="J67" s="15">
        <f>NOW()</f>
        <v/>
      </c>
      <c r="K67" s="17">
        <f>DATE(YEAR(H67),MONTH(H67),1)</f>
        <v/>
      </c>
    </row>
    <row r="68" ht="15" customHeight="1" thickBot="1">
      <c r="A68" s="4" t="inlineStr">
        <is>
          <t>CUST002</t>
        </is>
      </c>
      <c r="B68" s="1" t="inlineStr">
        <is>
          <t>Mary Davis</t>
        </is>
      </c>
      <c r="C68" s="1" t="inlineStr">
        <is>
          <t>South</t>
        </is>
      </c>
      <c r="D68" s="1" t="inlineStr">
        <is>
          <t>Books</t>
        </is>
      </c>
      <c r="E68" s="2" t="n">
        <v>876.4400000000001</v>
      </c>
      <c r="F68" s="2" t="n">
        <v>12</v>
      </c>
      <c r="G68" s="2" t="n">
        <v>0.05</v>
      </c>
      <c r="H68" s="3" t="n">
        <v>45488</v>
      </c>
      <c r="I68" s="5" t="n">
        <v>333.05</v>
      </c>
      <c r="J68" s="15">
        <f>NOW()</f>
        <v/>
      </c>
      <c r="K68" s="17">
        <f>DATE(YEAR(H68),MONTH(H68),1)</f>
        <v/>
      </c>
    </row>
    <row r="69" ht="15" customHeight="1" thickBot="1">
      <c r="A69" s="4" t="inlineStr">
        <is>
          <t>CUST020</t>
        </is>
      </c>
      <c r="B69" s="1" t="inlineStr">
        <is>
          <t>David Brown</t>
        </is>
      </c>
      <c r="C69" s="1" t="inlineStr">
        <is>
          <t>West</t>
        </is>
      </c>
      <c r="D69" s="1" t="inlineStr">
        <is>
          <t>Furniture</t>
        </is>
      </c>
      <c r="E69" s="2" t="n">
        <v>1371.34</v>
      </c>
      <c r="F69" s="2" t="n">
        <v>5</v>
      </c>
      <c r="G69" s="2" t="n">
        <v>0.05</v>
      </c>
      <c r="H69" s="3" t="n">
        <v>45488</v>
      </c>
      <c r="I69" s="5" t="n">
        <v>455.97</v>
      </c>
      <c r="J69" s="15">
        <f>NOW()</f>
        <v/>
      </c>
      <c r="K69" s="17">
        <f>DATE(YEAR(H69),MONTH(H69),1)</f>
        <v/>
      </c>
    </row>
    <row r="70" ht="15" customHeight="1" thickBot="1">
      <c r="A70" s="4" t="inlineStr">
        <is>
          <t>CUST021</t>
        </is>
      </c>
      <c r="B70" s="1" t="inlineStr">
        <is>
          <t>Mary Jackson</t>
        </is>
      </c>
      <c r="C70" s="1" t="inlineStr">
        <is>
          <t>North</t>
        </is>
      </c>
      <c r="D70" s="1" t="inlineStr">
        <is>
          <t>Electronics</t>
        </is>
      </c>
      <c r="E70" s="2" t="n">
        <v>1020.26</v>
      </c>
      <c r="F70" s="2" t="n">
        <v>11</v>
      </c>
      <c r="G70" s="2" t="n">
        <v>0.05</v>
      </c>
      <c r="H70" s="3" t="n">
        <v>45494</v>
      </c>
      <c r="I70" s="5" t="n">
        <v>242.31</v>
      </c>
      <c r="J70" s="15">
        <f>NOW()</f>
        <v/>
      </c>
      <c r="K70" s="17">
        <f>DATE(YEAR(H70),MONTH(H70),1)</f>
        <v/>
      </c>
    </row>
    <row r="71" ht="15" customHeight="1" thickBot="1">
      <c r="A71" s="4" t="inlineStr">
        <is>
          <t>CUST008</t>
        </is>
      </c>
      <c r="B71" s="1" t="inlineStr">
        <is>
          <t>James Davis</t>
        </is>
      </c>
      <c r="C71" s="1" t="inlineStr">
        <is>
          <t>Central</t>
        </is>
      </c>
      <c r="D71" s="1" t="inlineStr">
        <is>
          <t>Office Supplies</t>
        </is>
      </c>
      <c r="E71" s="2" t="n">
        <v>804.8099999999999</v>
      </c>
      <c r="F71" s="2" t="n">
        <v>1</v>
      </c>
      <c r="G71" s="2" t="n">
        <v>0.05</v>
      </c>
      <c r="H71" s="3" t="n">
        <v>45502</v>
      </c>
      <c r="I71" s="5" t="n">
        <v>344.06</v>
      </c>
      <c r="J71" s="15">
        <f>NOW()</f>
        <v/>
      </c>
      <c r="K71" s="17">
        <f>DATE(YEAR(H71),MONTH(H71),1)</f>
        <v/>
      </c>
    </row>
    <row r="72" ht="15" customHeight="1" thickBot="1">
      <c r="A72" s="4" t="inlineStr">
        <is>
          <t>CUST030</t>
        </is>
      </c>
      <c r="B72" s="1" t="inlineStr">
        <is>
          <t>David Brown</t>
        </is>
      </c>
      <c r="C72" s="1" t="inlineStr">
        <is>
          <t>Central</t>
        </is>
      </c>
      <c r="D72" s="1" t="inlineStr">
        <is>
          <t>Electronics</t>
        </is>
      </c>
      <c r="E72" s="2" t="n">
        <v>608.66</v>
      </c>
      <c r="F72" s="2" t="n">
        <v>1</v>
      </c>
      <c r="G72" s="2" t="n">
        <v>0.05</v>
      </c>
      <c r="H72" s="3" t="n">
        <v>45503</v>
      </c>
      <c r="I72" s="5" t="n">
        <v>144.56</v>
      </c>
      <c r="J72" s="15">
        <f>NOW()</f>
        <v/>
      </c>
      <c r="K72" s="17">
        <f>DATE(YEAR(H72),MONTH(H72),1)</f>
        <v/>
      </c>
    </row>
    <row r="73" ht="15" customHeight="1" thickBot="1">
      <c r="A73" s="4" t="inlineStr">
        <is>
          <t>CUST020</t>
        </is>
      </c>
      <c r="B73" s="1" t="inlineStr">
        <is>
          <t>Linda Moore</t>
        </is>
      </c>
      <c r="C73" s="1" t="inlineStr">
        <is>
          <t>South</t>
        </is>
      </c>
      <c r="D73" s="1" t="inlineStr">
        <is>
          <t>Office Supplies</t>
        </is>
      </c>
      <c r="E73" s="2" t="n">
        <v>981.2</v>
      </c>
      <c r="F73" s="2" t="n">
        <v>19</v>
      </c>
      <c r="G73" s="2" t="n">
        <v>0</v>
      </c>
      <c r="H73" s="3" t="n">
        <v>45504</v>
      </c>
      <c r="I73" s="5" t="n">
        <v>441.54</v>
      </c>
      <c r="J73" s="15">
        <f>NOW()</f>
        <v/>
      </c>
      <c r="K73" s="17">
        <f>DATE(YEAR(H73),MONTH(H73),1)</f>
        <v/>
      </c>
    </row>
    <row r="74" ht="15" customHeight="1" thickBot="1">
      <c r="A74" s="4" t="inlineStr">
        <is>
          <t>CUST024</t>
        </is>
      </c>
      <c r="B74" s="1" t="inlineStr">
        <is>
          <t>David Brown</t>
        </is>
      </c>
      <c r="C74" s="1" t="inlineStr">
        <is>
          <t>East</t>
        </is>
      </c>
      <c r="D74" s="1" t="inlineStr">
        <is>
          <t>Electronics</t>
        </is>
      </c>
      <c r="E74" s="2" t="n">
        <v>539.77</v>
      </c>
      <c r="F74" s="2" t="n">
        <v>10</v>
      </c>
      <c r="G74" s="2" t="n">
        <v>0.15</v>
      </c>
      <c r="H74" s="3" t="n">
        <v>45509</v>
      </c>
      <c r="I74" s="5" t="n">
        <v>114.7</v>
      </c>
      <c r="J74" s="15">
        <f>NOW()</f>
        <v/>
      </c>
      <c r="K74" s="17">
        <f>DATE(YEAR(H74),MONTH(H74),1)</f>
        <v/>
      </c>
    </row>
    <row r="75" ht="15" customHeight="1" thickBot="1">
      <c r="A75" s="4" t="inlineStr">
        <is>
          <t>CUST012</t>
        </is>
      </c>
      <c r="B75" s="1" t="inlineStr">
        <is>
          <t>David Anderson</t>
        </is>
      </c>
      <c r="C75" s="1" t="inlineStr">
        <is>
          <t>South</t>
        </is>
      </c>
      <c r="D75" s="1" t="inlineStr">
        <is>
          <t>Books</t>
        </is>
      </c>
      <c r="E75" s="2" t="n">
        <v>804.45</v>
      </c>
      <c r="F75" s="2" t="n">
        <v>5</v>
      </c>
      <c r="G75" s="2" t="n">
        <v>0.2</v>
      </c>
      <c r="H75" s="3" t="n">
        <v>45509</v>
      </c>
      <c r="I75" s="5" t="n">
        <v>257.42</v>
      </c>
      <c r="J75" s="15">
        <f>NOW()</f>
        <v/>
      </c>
      <c r="K75" s="17">
        <f>DATE(YEAR(H75),MONTH(H75),1)</f>
        <v/>
      </c>
    </row>
    <row r="76" ht="15" customHeight="1" thickBot="1">
      <c r="A76" s="4" t="inlineStr">
        <is>
          <t>CUST024</t>
        </is>
      </c>
      <c r="B76" s="1" t="inlineStr">
        <is>
          <t>Emma Davis</t>
        </is>
      </c>
      <c r="C76" s="1" t="inlineStr">
        <is>
          <t>West</t>
        </is>
      </c>
      <c r="D76" s="1" t="inlineStr">
        <is>
          <t>Electronics</t>
        </is>
      </c>
      <c r="E76" s="2" t="n">
        <v>1526.6</v>
      </c>
      <c r="F76" s="2" t="n">
        <v>13</v>
      </c>
      <c r="G76" s="2" t="n">
        <v>0.2</v>
      </c>
      <c r="H76" s="3" t="n">
        <v>45512</v>
      </c>
      <c r="I76" s="5" t="n">
        <v>305.32</v>
      </c>
      <c r="J76" s="15">
        <f>NOW()</f>
        <v/>
      </c>
      <c r="K76" s="17">
        <f>DATE(YEAR(H76),MONTH(H76),1)</f>
        <v/>
      </c>
    </row>
    <row r="77" ht="15" customHeight="1" thickBot="1">
      <c r="A77" s="4" t="inlineStr">
        <is>
          <t>CUST012</t>
        </is>
      </c>
      <c r="B77" s="1" t="inlineStr">
        <is>
          <t>Linda Wilson</t>
        </is>
      </c>
      <c r="C77" s="1" t="inlineStr">
        <is>
          <t>West</t>
        </is>
      </c>
      <c r="D77" s="1" t="inlineStr">
        <is>
          <t>Electronics</t>
        </is>
      </c>
      <c r="E77" s="2" t="n">
        <v>1215.26</v>
      </c>
      <c r="F77" s="2" t="n">
        <v>5</v>
      </c>
      <c r="G77" s="2" t="n">
        <v>0.15</v>
      </c>
      <c r="H77" s="3" t="n">
        <v>45513</v>
      </c>
      <c r="I77" s="5" t="n">
        <v>258.24</v>
      </c>
      <c r="J77" s="15">
        <f>NOW()</f>
        <v/>
      </c>
      <c r="K77" s="17">
        <f>DATE(YEAR(H77),MONTH(H77),1)</f>
        <v/>
      </c>
    </row>
    <row r="78" ht="15" customHeight="1" thickBot="1">
      <c r="A78" s="4" t="inlineStr">
        <is>
          <t>CUST005</t>
        </is>
      </c>
      <c r="B78" s="1" t="inlineStr">
        <is>
          <t>Linda Taylor</t>
        </is>
      </c>
      <c r="C78" s="1" t="inlineStr">
        <is>
          <t>Central</t>
        </is>
      </c>
      <c r="D78" s="1" t="inlineStr">
        <is>
          <t>Furniture</t>
        </is>
      </c>
      <c r="E78" s="2" t="n">
        <v>1261.34</v>
      </c>
      <c r="F78" s="2" t="n">
        <v>3</v>
      </c>
      <c r="G78" s="2" t="n">
        <v>0</v>
      </c>
      <c r="H78" s="3" t="n">
        <v>45519</v>
      </c>
      <c r="I78" s="5" t="n">
        <v>441.47</v>
      </c>
      <c r="J78" s="15">
        <f>NOW()</f>
        <v/>
      </c>
      <c r="K78" s="17">
        <f>DATE(YEAR(H78),MONTH(H78),1)</f>
        <v/>
      </c>
    </row>
    <row r="79" ht="15" customHeight="1" thickBot="1">
      <c r="A79" s="4" t="inlineStr">
        <is>
          <t>CUST004</t>
        </is>
      </c>
      <c r="B79" s="1" t="inlineStr">
        <is>
          <t>Lisa Thomas</t>
        </is>
      </c>
      <c r="C79" s="1" t="inlineStr">
        <is>
          <t>North</t>
        </is>
      </c>
      <c r="D79" s="1" t="inlineStr">
        <is>
          <t>Furniture</t>
        </is>
      </c>
      <c r="E79" s="2" t="n">
        <v>518.0700000000001</v>
      </c>
      <c r="F79" s="2" t="n">
        <v>7</v>
      </c>
      <c r="G79" s="2" t="n">
        <v>0.05</v>
      </c>
      <c r="H79" s="3" t="n">
        <v>45522</v>
      </c>
      <c r="I79" s="5" t="n">
        <v>172.26</v>
      </c>
      <c r="J79" s="15">
        <f>NOW()</f>
        <v/>
      </c>
      <c r="K79" s="17">
        <f>DATE(YEAR(H79),MONTH(H79),1)</f>
        <v/>
      </c>
    </row>
    <row r="80" ht="15" customHeight="1" thickBot="1">
      <c r="A80" s="4" t="inlineStr">
        <is>
          <t>CUST026</t>
        </is>
      </c>
      <c r="B80" s="1" t="inlineStr">
        <is>
          <t>Linda Wilson</t>
        </is>
      </c>
      <c r="C80" s="1" t="inlineStr">
        <is>
          <t>West</t>
        </is>
      </c>
      <c r="D80" s="1" t="inlineStr">
        <is>
          <t>Office Supplies</t>
        </is>
      </c>
      <c r="E80" s="2" t="n">
        <v>1111.34</v>
      </c>
      <c r="F80" s="2" t="n">
        <v>1</v>
      </c>
      <c r="G80" s="2" t="n">
        <v>0</v>
      </c>
      <c r="H80" s="3" t="n">
        <v>45523</v>
      </c>
      <c r="I80" s="5" t="n">
        <v>500.1</v>
      </c>
      <c r="J80" s="15">
        <f>NOW()</f>
        <v/>
      </c>
      <c r="K80" s="17">
        <f>DATE(YEAR(H80),MONTH(H80),1)</f>
        <v/>
      </c>
    </row>
    <row r="81" ht="15" customHeight="1" thickBot="1">
      <c r="A81" s="4" t="inlineStr">
        <is>
          <t>CUST030</t>
        </is>
      </c>
      <c r="B81" s="1" t="inlineStr">
        <is>
          <t>Mary Davis</t>
        </is>
      </c>
      <c r="C81" s="1" t="inlineStr">
        <is>
          <t>East</t>
        </is>
      </c>
      <c r="D81" s="1" t="inlineStr">
        <is>
          <t>Clothing</t>
        </is>
      </c>
      <c r="E81" s="2" t="n">
        <v>1291.47</v>
      </c>
      <c r="F81" s="2" t="n">
        <v>18</v>
      </c>
      <c r="G81" s="2" t="n">
        <v>0.1</v>
      </c>
      <c r="H81" s="3" t="n">
        <v>45526</v>
      </c>
      <c r="I81" s="5" t="n">
        <v>581.16</v>
      </c>
      <c r="J81" s="15">
        <f>NOW()</f>
        <v/>
      </c>
      <c r="K81" s="17">
        <f>DATE(YEAR(H81),MONTH(H81),1)</f>
        <v/>
      </c>
    </row>
    <row r="82" ht="15" customHeight="1" thickBot="1">
      <c r="A82" s="4" t="inlineStr">
        <is>
          <t>CUST007</t>
        </is>
      </c>
      <c r="B82" s="1" t="inlineStr">
        <is>
          <t>David Brown</t>
        </is>
      </c>
      <c r="C82" s="1" t="inlineStr">
        <is>
          <t>North</t>
        </is>
      </c>
      <c r="D82" s="1" t="inlineStr">
        <is>
          <t>Books</t>
        </is>
      </c>
      <c r="E82" s="2" t="n">
        <v>679.71</v>
      </c>
      <c r="F82" s="2" t="n">
        <v>19</v>
      </c>
      <c r="G82" s="2" t="n">
        <v>0</v>
      </c>
      <c r="H82" s="3" t="n">
        <v>45534</v>
      </c>
      <c r="I82" s="5" t="n">
        <v>271.88</v>
      </c>
      <c r="J82" s="15">
        <f>NOW()</f>
        <v/>
      </c>
      <c r="K82" s="17">
        <f>DATE(YEAR(H82),MONTH(H82),1)</f>
        <v/>
      </c>
    </row>
    <row r="83" ht="15" customHeight="1" thickBot="1">
      <c r="A83" s="4" t="inlineStr">
        <is>
          <t>CUST020</t>
        </is>
      </c>
      <c r="B83" s="1" t="inlineStr">
        <is>
          <t>Linda Jackson</t>
        </is>
      </c>
      <c r="C83" s="1" t="inlineStr">
        <is>
          <t>East</t>
        </is>
      </c>
      <c r="D83" s="1" t="inlineStr">
        <is>
          <t>Furniture</t>
        </is>
      </c>
      <c r="E83" s="2" t="n">
        <v>1143.69</v>
      </c>
      <c r="F83" s="2" t="n">
        <v>17</v>
      </c>
      <c r="G83" s="2" t="n">
        <v>0</v>
      </c>
      <c r="H83" s="3" t="n">
        <v>45534</v>
      </c>
      <c r="I83" s="5" t="n">
        <v>400.29</v>
      </c>
      <c r="J83" s="15">
        <f>NOW()</f>
        <v/>
      </c>
      <c r="K83" s="17">
        <f>DATE(YEAR(H83),MONTH(H83),1)</f>
        <v/>
      </c>
    </row>
    <row r="84" ht="15" customHeight="1" thickBot="1">
      <c r="A84" s="4" t="inlineStr">
        <is>
          <t>CUST028</t>
        </is>
      </c>
      <c r="B84" s="1" t="inlineStr">
        <is>
          <t>Linda Brown</t>
        </is>
      </c>
      <c r="C84" s="1" t="inlineStr">
        <is>
          <t>Central</t>
        </is>
      </c>
      <c r="D84" s="1" t="inlineStr">
        <is>
          <t>Electronics</t>
        </is>
      </c>
      <c r="E84" s="2" t="n">
        <v>790.08</v>
      </c>
      <c r="F84" s="2" t="n">
        <v>7</v>
      </c>
      <c r="G84" s="2" t="n">
        <v>0.1</v>
      </c>
      <c r="H84" s="3" t="n">
        <v>45536</v>
      </c>
      <c r="I84" s="5" t="n">
        <v>177.77</v>
      </c>
      <c r="J84" s="15">
        <f>NOW()</f>
        <v/>
      </c>
      <c r="K84" s="17">
        <f>DATE(YEAR(H84),MONTH(H84),1)</f>
        <v/>
      </c>
    </row>
    <row r="85" ht="15" customHeight="1" thickBot="1">
      <c r="A85" s="4" t="inlineStr">
        <is>
          <t>CUST005</t>
        </is>
      </c>
      <c r="B85" s="1" t="inlineStr">
        <is>
          <t>Lisa Davis</t>
        </is>
      </c>
      <c r="C85" s="1" t="inlineStr">
        <is>
          <t>Central</t>
        </is>
      </c>
      <c r="D85" s="1" t="inlineStr">
        <is>
          <t>Books</t>
        </is>
      </c>
      <c r="E85" s="2" t="n">
        <v>1070.68</v>
      </c>
      <c r="F85" s="2" t="n">
        <v>7</v>
      </c>
      <c r="G85" s="2" t="n">
        <v>0.05</v>
      </c>
      <c r="H85" s="3" t="n">
        <v>45536</v>
      </c>
      <c r="I85" s="5" t="n">
        <v>406.86</v>
      </c>
      <c r="J85" s="15">
        <f>NOW()</f>
        <v/>
      </c>
      <c r="K85" s="17">
        <f>DATE(YEAR(H85),MONTH(H85),1)</f>
        <v/>
      </c>
    </row>
    <row r="86" ht="15" customHeight="1" thickBot="1">
      <c r="A86" s="4" t="inlineStr">
        <is>
          <t>CUST015</t>
        </is>
      </c>
      <c r="B86" s="1" t="inlineStr">
        <is>
          <t>David Thomas</t>
        </is>
      </c>
      <c r="C86" s="1" t="inlineStr">
        <is>
          <t>West</t>
        </is>
      </c>
      <c r="D86" s="1" t="inlineStr">
        <is>
          <t>Clothing</t>
        </is>
      </c>
      <c r="E86" s="2" t="n">
        <v>1168.89</v>
      </c>
      <c r="F86" s="2" t="n">
        <v>4</v>
      </c>
      <c r="G86" s="2" t="n">
        <v>0.1</v>
      </c>
      <c r="H86" s="3" t="n">
        <v>45544</v>
      </c>
      <c r="I86" s="5" t="n">
        <v>526</v>
      </c>
      <c r="J86" s="15">
        <f>NOW()</f>
        <v/>
      </c>
      <c r="K86" s="17">
        <f>DATE(YEAR(H86),MONTH(H86),1)</f>
        <v/>
      </c>
    </row>
    <row r="87" ht="15" customHeight="1" thickBot="1">
      <c r="A87" s="4" t="inlineStr">
        <is>
          <t>CUST003</t>
        </is>
      </c>
      <c r="B87" s="1" t="inlineStr">
        <is>
          <t>James Davis</t>
        </is>
      </c>
      <c r="C87" s="1" t="inlineStr">
        <is>
          <t>South</t>
        </is>
      </c>
      <c r="D87" s="1" t="inlineStr">
        <is>
          <t>Electronics</t>
        </is>
      </c>
      <c r="E87" s="2" t="n">
        <v>1335.87</v>
      </c>
      <c r="F87" s="2" t="n">
        <v>17</v>
      </c>
      <c r="G87" s="2" t="n">
        <v>0</v>
      </c>
      <c r="H87" s="3" t="n">
        <v>45544</v>
      </c>
      <c r="I87" s="5" t="n">
        <v>333.97</v>
      </c>
      <c r="J87" s="15">
        <f>NOW()</f>
        <v/>
      </c>
      <c r="K87" s="17">
        <f>DATE(YEAR(H87),MONTH(H87),1)</f>
        <v/>
      </c>
    </row>
    <row r="88" ht="15" customHeight="1" thickBot="1">
      <c r="A88" s="4" t="inlineStr">
        <is>
          <t>CUST023</t>
        </is>
      </c>
      <c r="B88" s="1" t="inlineStr">
        <is>
          <t>David Brown</t>
        </is>
      </c>
      <c r="C88" s="1" t="inlineStr">
        <is>
          <t>East</t>
        </is>
      </c>
      <c r="D88" s="1" t="inlineStr">
        <is>
          <t>Furniture</t>
        </is>
      </c>
      <c r="E88" s="2" t="n">
        <v>873.7</v>
      </c>
      <c r="F88" s="2" t="n">
        <v>9</v>
      </c>
      <c r="G88" s="2" t="n">
        <v>0</v>
      </c>
      <c r="H88" s="3" t="n">
        <v>45546</v>
      </c>
      <c r="I88" s="5" t="n">
        <v>305.8</v>
      </c>
      <c r="J88" s="15">
        <f>NOW()</f>
        <v/>
      </c>
      <c r="K88" s="17">
        <f>DATE(YEAR(H88),MONTH(H88),1)</f>
        <v/>
      </c>
    </row>
    <row r="89" ht="15" customHeight="1" thickBot="1">
      <c r="A89" s="4" t="inlineStr">
        <is>
          <t>CUST004</t>
        </is>
      </c>
      <c r="B89" s="1" t="inlineStr">
        <is>
          <t>Sarah Davis</t>
        </is>
      </c>
      <c r="C89" s="1" t="inlineStr">
        <is>
          <t>West</t>
        </is>
      </c>
      <c r="D89" s="1" t="inlineStr">
        <is>
          <t>Office Supplies</t>
        </is>
      </c>
      <c r="E89" s="2" t="n">
        <v>1443.98</v>
      </c>
      <c r="F89" s="2" t="n">
        <v>19</v>
      </c>
      <c r="G89" s="2" t="n">
        <v>0</v>
      </c>
      <c r="H89" s="3" t="n">
        <v>45547</v>
      </c>
      <c r="I89" s="5" t="n">
        <v>649.79</v>
      </c>
      <c r="J89" s="15">
        <f>NOW()</f>
        <v/>
      </c>
      <c r="K89" s="17">
        <f>DATE(YEAR(H89),MONTH(H89),1)</f>
        <v/>
      </c>
    </row>
    <row r="90" ht="15" customHeight="1" thickBot="1">
      <c r="A90" s="4" t="inlineStr">
        <is>
          <t>CUST023</t>
        </is>
      </c>
      <c r="B90" s="1" t="inlineStr">
        <is>
          <t>James Wilson</t>
        </is>
      </c>
      <c r="C90" s="1" t="inlineStr">
        <is>
          <t>East</t>
        </is>
      </c>
      <c r="D90" s="1" t="inlineStr">
        <is>
          <t>Office Supplies</t>
        </is>
      </c>
      <c r="E90" s="2" t="n">
        <v>1154.33</v>
      </c>
      <c r="F90" s="2" t="n">
        <v>11</v>
      </c>
      <c r="G90" s="2" t="n">
        <v>0.15</v>
      </c>
      <c r="H90" s="3" t="n">
        <v>45549</v>
      </c>
      <c r="I90" s="5" t="n">
        <v>441.53</v>
      </c>
      <c r="J90" s="15">
        <f>NOW()</f>
        <v/>
      </c>
      <c r="K90" s="17">
        <f>DATE(YEAR(H90),MONTH(H90),1)</f>
        <v/>
      </c>
    </row>
    <row r="91" ht="15" customHeight="1" thickBot="1">
      <c r="A91" s="4" t="inlineStr">
        <is>
          <t>CUST022</t>
        </is>
      </c>
      <c r="B91" s="1" t="inlineStr">
        <is>
          <t>Linda Brown</t>
        </is>
      </c>
      <c r="C91" s="1" t="inlineStr">
        <is>
          <t>South</t>
        </is>
      </c>
      <c r="D91" s="1" t="inlineStr">
        <is>
          <t>Books</t>
        </is>
      </c>
      <c r="E91" s="2" t="n">
        <v>1264.49</v>
      </c>
      <c r="F91" s="2" t="n">
        <v>16</v>
      </c>
      <c r="G91" s="2" t="n">
        <v>0.05</v>
      </c>
      <c r="H91" s="3" t="n">
        <v>45549</v>
      </c>
      <c r="I91" s="5" t="n">
        <v>480.51</v>
      </c>
      <c r="J91" s="15">
        <f>NOW()</f>
        <v/>
      </c>
      <c r="K91" s="17">
        <f>DATE(YEAR(H91),MONTH(H91),1)</f>
        <v/>
      </c>
    </row>
    <row r="92" ht="15" customHeight="1" thickBot="1">
      <c r="A92" s="4" t="inlineStr">
        <is>
          <t>CUST007</t>
        </is>
      </c>
      <c r="B92" s="1" t="inlineStr">
        <is>
          <t>Emma Taylor</t>
        </is>
      </c>
      <c r="C92" s="1" t="inlineStr">
        <is>
          <t>West</t>
        </is>
      </c>
      <c r="D92" s="1" t="inlineStr">
        <is>
          <t>Furniture</t>
        </is>
      </c>
      <c r="E92" s="2" t="n">
        <v>1101.55</v>
      </c>
      <c r="F92" s="2" t="n">
        <v>4</v>
      </c>
      <c r="G92" s="2" t="n">
        <v>0.1</v>
      </c>
      <c r="H92" s="3" t="n">
        <v>45551</v>
      </c>
      <c r="I92" s="5" t="n">
        <v>346.99</v>
      </c>
      <c r="J92" s="15">
        <f>NOW()</f>
        <v/>
      </c>
      <c r="K92" s="17">
        <f>DATE(YEAR(H92),MONTH(H92),1)</f>
        <v/>
      </c>
    </row>
    <row r="93" ht="15" customHeight="1" thickBot="1">
      <c r="A93" s="4" t="inlineStr">
        <is>
          <t>CUST013</t>
        </is>
      </c>
      <c r="B93" s="1" t="inlineStr">
        <is>
          <t>Robert Anderson</t>
        </is>
      </c>
      <c r="C93" s="1" t="inlineStr">
        <is>
          <t>South</t>
        </is>
      </c>
      <c r="D93" s="1" t="inlineStr">
        <is>
          <t>Furniture</t>
        </is>
      </c>
      <c r="E93" s="2" t="n">
        <v>727.73</v>
      </c>
      <c r="F93" s="2" t="n">
        <v>1</v>
      </c>
      <c r="G93" s="2" t="n">
        <v>0.1</v>
      </c>
      <c r="H93" s="3" t="n">
        <v>45552</v>
      </c>
      <c r="I93" s="5" t="n">
        <v>229.23</v>
      </c>
      <c r="J93" s="15">
        <f>NOW()</f>
        <v/>
      </c>
      <c r="K93" s="17">
        <f>DATE(YEAR(H93),MONTH(H93),1)</f>
        <v/>
      </c>
    </row>
    <row r="94" ht="15" customHeight="1" thickBot="1">
      <c r="A94" s="4" t="inlineStr">
        <is>
          <t>CUST027</t>
        </is>
      </c>
      <c r="B94" s="1" t="inlineStr">
        <is>
          <t>Emma Davis</t>
        </is>
      </c>
      <c r="C94" s="1" t="inlineStr">
        <is>
          <t>East</t>
        </is>
      </c>
      <c r="D94" s="1" t="inlineStr">
        <is>
          <t>Office Supplies</t>
        </is>
      </c>
      <c r="E94" s="2" t="n">
        <v>875.41</v>
      </c>
      <c r="F94" s="2" t="n">
        <v>13</v>
      </c>
      <c r="G94" s="2" t="n">
        <v>0.15</v>
      </c>
      <c r="H94" s="3" t="n">
        <v>45552</v>
      </c>
      <c r="I94" s="5" t="n">
        <v>334.84</v>
      </c>
      <c r="J94" s="15">
        <f>NOW()</f>
        <v/>
      </c>
      <c r="K94" s="17">
        <f>DATE(YEAR(H94),MONTH(H94),1)</f>
        <v/>
      </c>
    </row>
    <row r="95" ht="15" customHeight="1" thickBot="1">
      <c r="A95" s="4" t="inlineStr">
        <is>
          <t>CUST003</t>
        </is>
      </c>
      <c r="B95" s="1" t="inlineStr">
        <is>
          <t>James Wilson</t>
        </is>
      </c>
      <c r="C95" s="1" t="inlineStr">
        <is>
          <t>West</t>
        </is>
      </c>
      <c r="D95" s="1" t="inlineStr">
        <is>
          <t>Electronics</t>
        </is>
      </c>
      <c r="E95" s="2" t="n">
        <v>1158.94</v>
      </c>
      <c r="F95" s="2" t="n">
        <v>19</v>
      </c>
      <c r="G95" s="2" t="n">
        <v>0.2</v>
      </c>
      <c r="H95" s="3" t="n">
        <v>45553</v>
      </c>
      <c r="I95" s="5" t="n">
        <v>231.79</v>
      </c>
      <c r="J95" s="15">
        <f>NOW()</f>
        <v/>
      </c>
      <c r="K95" s="17">
        <f>DATE(YEAR(H95),MONTH(H95),1)</f>
        <v/>
      </c>
    </row>
    <row r="96" ht="15" customHeight="1" thickBot="1">
      <c r="A96" s="4" t="inlineStr">
        <is>
          <t>CUST018</t>
        </is>
      </c>
      <c r="B96" s="1" t="inlineStr">
        <is>
          <t>Mary Jackson</t>
        </is>
      </c>
      <c r="C96" s="1" t="inlineStr">
        <is>
          <t>South</t>
        </is>
      </c>
      <c r="D96" s="1" t="inlineStr">
        <is>
          <t>Books</t>
        </is>
      </c>
      <c r="E96" s="2" t="n">
        <v>966.3</v>
      </c>
      <c r="F96" s="2" t="n">
        <v>2</v>
      </c>
      <c r="G96" s="2" t="n">
        <v>0.15</v>
      </c>
      <c r="H96" s="3" t="n">
        <v>45557</v>
      </c>
      <c r="I96" s="5" t="n">
        <v>328.54</v>
      </c>
      <c r="J96" s="15">
        <f>NOW()</f>
        <v/>
      </c>
      <c r="K96" s="17">
        <f>DATE(YEAR(H96),MONTH(H96),1)</f>
        <v/>
      </c>
    </row>
    <row r="97" ht="15" customHeight="1" thickBot="1">
      <c r="A97" s="4" t="inlineStr">
        <is>
          <t>CUST020</t>
        </is>
      </c>
      <c r="B97" s="1" t="inlineStr">
        <is>
          <t>James Taylor</t>
        </is>
      </c>
      <c r="C97" s="1" t="inlineStr">
        <is>
          <t>South</t>
        </is>
      </c>
      <c r="D97" s="1" t="inlineStr">
        <is>
          <t>Books</t>
        </is>
      </c>
      <c r="E97" s="2" t="n">
        <v>917.48</v>
      </c>
      <c r="F97" s="2" t="n">
        <v>6</v>
      </c>
      <c r="G97" s="2" t="n">
        <v>0</v>
      </c>
      <c r="H97" s="3" t="n">
        <v>45558</v>
      </c>
      <c r="I97" s="5" t="n">
        <v>366.99</v>
      </c>
      <c r="J97" s="15">
        <f>NOW()</f>
        <v/>
      </c>
      <c r="K97" s="17">
        <f>DATE(YEAR(H97),MONTH(H97),1)</f>
        <v/>
      </c>
    </row>
    <row r="98" ht="15" customHeight="1" thickBot="1">
      <c r="A98" s="4" t="inlineStr">
        <is>
          <t>CUST029</t>
        </is>
      </c>
      <c r="B98" s="1" t="inlineStr">
        <is>
          <t>Emma Wilson</t>
        </is>
      </c>
      <c r="C98" s="1" t="inlineStr">
        <is>
          <t>West</t>
        </is>
      </c>
      <c r="D98" s="1" t="inlineStr">
        <is>
          <t>Furniture</t>
        </is>
      </c>
      <c r="E98" s="2" t="n">
        <v>1172.97</v>
      </c>
      <c r="F98" s="2" t="n">
        <v>7</v>
      </c>
      <c r="G98" s="2" t="n">
        <v>0.15</v>
      </c>
      <c r="H98" s="3" t="n">
        <v>45559</v>
      </c>
      <c r="I98" s="5" t="n">
        <v>348.96</v>
      </c>
      <c r="J98" s="15">
        <f>NOW()</f>
        <v/>
      </c>
      <c r="K98" s="17">
        <f>DATE(YEAR(H98),MONTH(H98),1)</f>
        <v/>
      </c>
    </row>
    <row r="99" ht="15" customHeight="1" thickBot="1">
      <c r="A99" s="4" t="inlineStr">
        <is>
          <t>CUST021</t>
        </is>
      </c>
      <c r="B99" s="1" t="inlineStr">
        <is>
          <t>James Wilson</t>
        </is>
      </c>
      <c r="C99" s="1" t="inlineStr">
        <is>
          <t>North</t>
        </is>
      </c>
      <c r="D99" s="1" t="inlineStr">
        <is>
          <t>Clothing</t>
        </is>
      </c>
      <c r="E99" s="2" t="n">
        <v>1205.82</v>
      </c>
      <c r="F99" s="2" t="n">
        <v>11</v>
      </c>
      <c r="G99" s="2" t="n">
        <v>0.1</v>
      </c>
      <c r="H99" s="3" t="n">
        <v>45559</v>
      </c>
      <c r="I99" s="5" t="n">
        <v>542.62</v>
      </c>
      <c r="J99" s="15">
        <f>NOW()</f>
        <v/>
      </c>
      <c r="K99" s="17">
        <f>DATE(YEAR(H99),MONTH(H99),1)</f>
        <v/>
      </c>
    </row>
    <row r="100" ht="15" customHeight="1" thickBot="1">
      <c r="A100" s="4" t="inlineStr">
        <is>
          <t>CUST017</t>
        </is>
      </c>
      <c r="B100" s="1" t="inlineStr">
        <is>
          <t>Sarah Davis</t>
        </is>
      </c>
      <c r="C100" s="1" t="inlineStr">
        <is>
          <t>West</t>
        </is>
      </c>
      <c r="D100" s="1" t="inlineStr">
        <is>
          <t>Office Supplies</t>
        </is>
      </c>
      <c r="E100" s="2" t="n">
        <v>826.9299999999999</v>
      </c>
      <c r="F100" s="2" t="n">
        <v>10</v>
      </c>
      <c r="G100" s="2" t="n">
        <v>0.2</v>
      </c>
      <c r="H100" s="3" t="n">
        <v>45564</v>
      </c>
      <c r="I100" s="5" t="n">
        <v>297.69</v>
      </c>
      <c r="J100" s="15">
        <f>NOW()</f>
        <v/>
      </c>
      <c r="K100" s="17">
        <f>DATE(YEAR(H100),MONTH(H100),1)</f>
        <v/>
      </c>
    </row>
    <row r="101" ht="15" customHeight="1" thickBot="1">
      <c r="A101" s="4" t="inlineStr">
        <is>
          <t>CUST003</t>
        </is>
      </c>
      <c r="B101" s="1" t="inlineStr">
        <is>
          <t>James Wilson</t>
        </is>
      </c>
      <c r="C101" s="1" t="inlineStr">
        <is>
          <t>Central</t>
        </is>
      </c>
      <c r="D101" s="1" t="inlineStr">
        <is>
          <t>Clothing</t>
        </is>
      </c>
      <c r="E101" s="2" t="n">
        <v>902.1900000000001</v>
      </c>
      <c r="F101" s="2" t="n">
        <v>12</v>
      </c>
      <c r="G101" s="2" t="n">
        <v>0</v>
      </c>
      <c r="H101" s="3" t="n">
        <v>45564</v>
      </c>
      <c r="I101" s="5" t="n">
        <v>451.1</v>
      </c>
      <c r="J101" s="15">
        <f>NOW()</f>
        <v/>
      </c>
      <c r="K101" s="17">
        <f>DATE(YEAR(H101),MONTH(H101),1)</f>
        <v/>
      </c>
    </row>
    <row r="102" ht="15" customHeight="1" thickBot="1">
      <c r="A102" s="4" t="inlineStr">
        <is>
          <t>CUST027</t>
        </is>
      </c>
      <c r="B102" s="1" t="inlineStr">
        <is>
          <t>Emma Davis</t>
        </is>
      </c>
      <c r="C102" s="1" t="inlineStr">
        <is>
          <t>North</t>
        </is>
      </c>
      <c r="D102" s="1" t="inlineStr">
        <is>
          <t>Books</t>
        </is>
      </c>
      <c r="E102" s="2" t="n">
        <v>585.97</v>
      </c>
      <c r="F102" s="2" t="n">
        <v>17</v>
      </c>
      <c r="G102" s="2" t="n">
        <v>0.1</v>
      </c>
      <c r="H102" s="3" t="n">
        <v>45565</v>
      </c>
      <c r="I102" s="5" t="n">
        <v>210.95</v>
      </c>
      <c r="J102" s="15">
        <f>NOW()</f>
        <v/>
      </c>
      <c r="K102" s="17">
        <f>DATE(YEAR(H102),MONTH(H102),1)</f>
        <v/>
      </c>
    </row>
    <row r="103" ht="15" customHeight="1" thickBot="1">
      <c r="A103" s="4" t="inlineStr">
        <is>
          <t>CUST016</t>
        </is>
      </c>
      <c r="B103" s="1" t="inlineStr">
        <is>
          <t>Michael Anderson</t>
        </is>
      </c>
      <c r="C103" s="1" t="inlineStr">
        <is>
          <t>North</t>
        </is>
      </c>
      <c r="D103" s="1" t="inlineStr">
        <is>
          <t>Clothing</t>
        </is>
      </c>
      <c r="E103" s="2" t="n">
        <v>990.1900000000001</v>
      </c>
      <c r="F103" s="2" t="n">
        <v>8</v>
      </c>
      <c r="G103" s="2" t="n">
        <v>0.1</v>
      </c>
      <c r="H103" s="3" t="n">
        <v>45565</v>
      </c>
      <c r="I103" s="5" t="n">
        <v>445.59</v>
      </c>
      <c r="J103" s="15">
        <f>NOW()</f>
        <v/>
      </c>
      <c r="K103" s="17">
        <f>DATE(YEAR(H103),MONTH(H103),1)</f>
        <v/>
      </c>
    </row>
    <row r="104" ht="15" customHeight="1" thickBot="1">
      <c r="A104" s="4" t="inlineStr">
        <is>
          <t>CUST008</t>
        </is>
      </c>
      <c r="B104" s="1" t="inlineStr">
        <is>
          <t>David Davis</t>
        </is>
      </c>
      <c r="C104" s="1" t="inlineStr">
        <is>
          <t>Central</t>
        </is>
      </c>
      <c r="D104" s="1" t="inlineStr">
        <is>
          <t>Electronics</t>
        </is>
      </c>
      <c r="E104" s="2" t="n">
        <v>1014.09</v>
      </c>
      <c r="F104" s="2" t="n">
        <v>13</v>
      </c>
      <c r="G104" s="2" t="n">
        <v>0.2</v>
      </c>
      <c r="H104" s="3" t="n">
        <v>45567</v>
      </c>
      <c r="I104" s="5" t="n">
        <v>202.82</v>
      </c>
      <c r="J104" s="15">
        <f>NOW()</f>
        <v/>
      </c>
      <c r="K104" s="17">
        <f>DATE(YEAR(H104),MONTH(H104),1)</f>
        <v/>
      </c>
    </row>
    <row r="105" ht="15" customHeight="1" thickBot="1">
      <c r="A105" s="4" t="inlineStr">
        <is>
          <t>CUST012</t>
        </is>
      </c>
      <c r="B105" s="1" t="inlineStr">
        <is>
          <t>Lisa Davis</t>
        </is>
      </c>
      <c r="C105" s="1" t="inlineStr">
        <is>
          <t>North</t>
        </is>
      </c>
      <c r="D105" s="1" t="inlineStr">
        <is>
          <t>Electronics</t>
        </is>
      </c>
      <c r="E105" s="2" t="n">
        <v>925.29</v>
      </c>
      <c r="F105" s="2" t="n">
        <v>17</v>
      </c>
      <c r="G105" s="2" t="n">
        <v>0</v>
      </c>
      <c r="H105" s="3" t="n">
        <v>45570</v>
      </c>
      <c r="I105" s="5" t="n">
        <v>231.32</v>
      </c>
      <c r="J105" s="15">
        <f>NOW()</f>
        <v/>
      </c>
      <c r="K105" s="17">
        <f>DATE(YEAR(H105),MONTH(H105),1)</f>
        <v/>
      </c>
    </row>
    <row r="106" ht="15" customHeight="1" thickBot="1">
      <c r="A106" s="4" t="inlineStr">
        <is>
          <t>CUST025</t>
        </is>
      </c>
      <c r="B106" s="1" t="inlineStr">
        <is>
          <t>Mary Jackson</t>
        </is>
      </c>
      <c r="C106" s="1" t="inlineStr">
        <is>
          <t>East</t>
        </is>
      </c>
      <c r="D106" s="1" t="inlineStr">
        <is>
          <t>Furniture</t>
        </is>
      </c>
      <c r="E106" s="2" t="n">
        <v>1286.54</v>
      </c>
      <c r="F106" s="2" t="n">
        <v>8</v>
      </c>
      <c r="G106" s="2" t="n">
        <v>0</v>
      </c>
      <c r="H106" s="3" t="n">
        <v>45575</v>
      </c>
      <c r="I106" s="5" t="n">
        <v>450.29</v>
      </c>
      <c r="J106" s="15">
        <f>NOW()</f>
        <v/>
      </c>
      <c r="K106" s="17">
        <f>DATE(YEAR(H106),MONTH(H106),1)</f>
        <v/>
      </c>
    </row>
    <row r="107" ht="15" customHeight="1" thickBot="1">
      <c r="A107" s="4" t="inlineStr">
        <is>
          <t>CUST014</t>
        </is>
      </c>
      <c r="B107" s="1" t="inlineStr">
        <is>
          <t>Sarah Davis</t>
        </is>
      </c>
      <c r="C107" s="1" t="inlineStr">
        <is>
          <t>South</t>
        </is>
      </c>
      <c r="D107" s="1" t="inlineStr">
        <is>
          <t>Books</t>
        </is>
      </c>
      <c r="E107" s="2" t="n">
        <v>961.62</v>
      </c>
      <c r="F107" s="2" t="n">
        <v>8</v>
      </c>
      <c r="G107" s="2" t="n">
        <v>0.2</v>
      </c>
      <c r="H107" s="3" t="n">
        <v>45577</v>
      </c>
      <c r="I107" s="5" t="n">
        <v>307.72</v>
      </c>
      <c r="J107" s="15">
        <f>NOW()</f>
        <v/>
      </c>
      <c r="K107" s="17">
        <f>DATE(YEAR(H107),MONTH(H107),1)</f>
        <v/>
      </c>
    </row>
    <row r="108" ht="15" customHeight="1" thickBot="1">
      <c r="A108" s="4" t="inlineStr">
        <is>
          <t>CUST008</t>
        </is>
      </c>
      <c r="B108" s="1" t="inlineStr">
        <is>
          <t>James Wilson</t>
        </is>
      </c>
      <c r="C108" s="1" t="inlineStr">
        <is>
          <t>East</t>
        </is>
      </c>
      <c r="D108" s="1" t="inlineStr">
        <is>
          <t>Books</t>
        </is>
      </c>
      <c r="E108" s="2" t="n">
        <v>1081.14</v>
      </c>
      <c r="F108" s="2" t="n">
        <v>19</v>
      </c>
      <c r="G108" s="2" t="n">
        <v>0.15</v>
      </c>
      <c r="H108" s="3" t="n">
        <v>45577</v>
      </c>
      <c r="I108" s="5" t="n">
        <v>367.59</v>
      </c>
      <c r="J108" s="15">
        <f>NOW()</f>
        <v/>
      </c>
      <c r="K108" s="17">
        <f>DATE(YEAR(H108),MONTH(H108),1)</f>
        <v/>
      </c>
    </row>
    <row r="109" ht="15" customHeight="1" thickBot="1">
      <c r="A109" s="4" t="inlineStr">
        <is>
          <t>CUST015</t>
        </is>
      </c>
      <c r="B109" s="1" t="inlineStr">
        <is>
          <t>James Wilson</t>
        </is>
      </c>
      <c r="C109" s="1" t="inlineStr">
        <is>
          <t>West</t>
        </is>
      </c>
      <c r="D109" s="1" t="inlineStr">
        <is>
          <t>Clothing</t>
        </is>
      </c>
      <c r="E109" s="2" t="n">
        <v>1923.66</v>
      </c>
      <c r="F109" s="2" t="n">
        <v>9</v>
      </c>
      <c r="G109" s="2" t="n">
        <v>0.2</v>
      </c>
      <c r="H109" s="3" t="n">
        <v>45580</v>
      </c>
      <c r="I109" s="5" t="n">
        <v>769.46</v>
      </c>
      <c r="J109" s="15">
        <f>NOW()</f>
        <v/>
      </c>
      <c r="K109" s="17">
        <f>DATE(YEAR(H109),MONTH(H109),1)</f>
        <v/>
      </c>
    </row>
    <row r="110" ht="15" customHeight="1" thickBot="1">
      <c r="A110" s="4" t="inlineStr">
        <is>
          <t>CUST025</t>
        </is>
      </c>
      <c r="B110" s="1" t="inlineStr">
        <is>
          <t>Emma Taylor</t>
        </is>
      </c>
      <c r="C110" s="1" t="inlineStr">
        <is>
          <t>Central</t>
        </is>
      </c>
      <c r="D110" s="1" t="inlineStr">
        <is>
          <t>Clothing</t>
        </is>
      </c>
      <c r="E110" s="2" t="n">
        <v>728.71</v>
      </c>
      <c r="F110" s="2" t="n">
        <v>14</v>
      </c>
      <c r="G110" s="2" t="n">
        <v>0.1</v>
      </c>
      <c r="H110" s="3" t="n">
        <v>45581</v>
      </c>
      <c r="I110" s="5" t="n">
        <v>327.92</v>
      </c>
      <c r="J110" s="15">
        <f>NOW()</f>
        <v/>
      </c>
      <c r="K110" s="17">
        <f>DATE(YEAR(H110),MONTH(H110),1)</f>
        <v/>
      </c>
    </row>
    <row r="111" ht="15" customHeight="1" thickBot="1">
      <c r="A111" s="4" t="inlineStr">
        <is>
          <t>CUST019</t>
        </is>
      </c>
      <c r="B111" s="1" t="inlineStr">
        <is>
          <t>Linda Jackson</t>
        </is>
      </c>
      <c r="C111" s="1" t="inlineStr">
        <is>
          <t>Central</t>
        </is>
      </c>
      <c r="D111" s="1" t="inlineStr">
        <is>
          <t>Clothing</t>
        </is>
      </c>
      <c r="E111" s="2" t="n">
        <v>1301.89</v>
      </c>
      <c r="F111" s="2" t="n">
        <v>7</v>
      </c>
      <c r="G111" s="2" t="n">
        <v>0.15</v>
      </c>
      <c r="H111" s="3" t="n">
        <v>45581</v>
      </c>
      <c r="I111" s="5" t="n">
        <v>553.3</v>
      </c>
      <c r="J111" s="15">
        <f>NOW()</f>
        <v/>
      </c>
      <c r="K111" s="17">
        <f>DATE(YEAR(H111),MONTH(H111),1)</f>
        <v/>
      </c>
    </row>
    <row r="112" ht="15" customHeight="1" thickBot="1">
      <c r="A112" s="4" t="inlineStr">
        <is>
          <t>CUST024</t>
        </is>
      </c>
      <c r="B112" s="1" t="inlineStr">
        <is>
          <t>Emma Taylor</t>
        </is>
      </c>
      <c r="C112" s="1" t="inlineStr">
        <is>
          <t>East</t>
        </is>
      </c>
      <c r="D112" s="1" t="inlineStr">
        <is>
          <t>Books</t>
        </is>
      </c>
      <c r="E112" s="2" t="n">
        <v>980.1799999999999</v>
      </c>
      <c r="F112" s="2" t="n">
        <v>16</v>
      </c>
      <c r="G112" s="2" t="n">
        <v>0.1</v>
      </c>
      <c r="H112" s="3" t="n">
        <v>45582</v>
      </c>
      <c r="I112" s="5" t="n">
        <v>352.86</v>
      </c>
      <c r="J112" s="15">
        <f>NOW()</f>
        <v/>
      </c>
      <c r="K112" s="17">
        <f>DATE(YEAR(H112),MONTH(H112),1)</f>
        <v/>
      </c>
    </row>
    <row r="113" ht="15" customHeight="1" thickBot="1">
      <c r="A113" s="4" t="inlineStr">
        <is>
          <t>CUST027</t>
        </is>
      </c>
      <c r="B113" s="1" t="inlineStr">
        <is>
          <t>James Wilson</t>
        </is>
      </c>
      <c r="C113" s="1" t="inlineStr">
        <is>
          <t>West</t>
        </is>
      </c>
      <c r="D113" s="1" t="inlineStr">
        <is>
          <t>Clothing</t>
        </is>
      </c>
      <c r="E113" s="2" t="n">
        <v>697.5700000000001</v>
      </c>
      <c r="F113" s="2" t="n">
        <v>17</v>
      </c>
      <c r="G113" s="2" t="n">
        <v>0.1</v>
      </c>
      <c r="H113" s="3" t="n">
        <v>45584</v>
      </c>
      <c r="I113" s="5" t="n">
        <v>313.91</v>
      </c>
      <c r="J113" s="15">
        <f>NOW()</f>
        <v/>
      </c>
      <c r="K113" s="17">
        <f>DATE(YEAR(H113),MONTH(H113),1)</f>
        <v/>
      </c>
    </row>
    <row r="114" ht="15" customHeight="1" thickBot="1">
      <c r="A114" s="4" t="inlineStr">
        <is>
          <t>CUST006</t>
        </is>
      </c>
      <c r="B114" s="1" t="inlineStr">
        <is>
          <t>David Anderson</t>
        </is>
      </c>
      <c r="C114" s="1" t="inlineStr">
        <is>
          <t>West</t>
        </is>
      </c>
      <c r="D114" s="1" t="inlineStr">
        <is>
          <t>Furniture</t>
        </is>
      </c>
      <c r="E114" s="2" t="n">
        <v>1193.61</v>
      </c>
      <c r="F114" s="2" t="n">
        <v>1</v>
      </c>
      <c r="G114" s="2" t="n">
        <v>0.15</v>
      </c>
      <c r="H114" s="3" t="n">
        <v>45584</v>
      </c>
      <c r="I114" s="5" t="n">
        <v>355.1</v>
      </c>
      <c r="J114" s="15">
        <f>NOW()</f>
        <v/>
      </c>
      <c r="K114" s="17">
        <f>DATE(YEAR(H114),MONTH(H114),1)</f>
        <v/>
      </c>
    </row>
    <row r="115" ht="15" customHeight="1" thickBot="1">
      <c r="A115" s="4" t="inlineStr">
        <is>
          <t>CUST009</t>
        </is>
      </c>
      <c r="B115" s="1" t="inlineStr">
        <is>
          <t>Emma Davis</t>
        </is>
      </c>
      <c r="C115" s="1" t="inlineStr">
        <is>
          <t>South</t>
        </is>
      </c>
      <c r="D115" s="1" t="inlineStr">
        <is>
          <t>Electronics</t>
        </is>
      </c>
      <c r="E115" s="2" t="n">
        <v>771.02</v>
      </c>
      <c r="F115" s="2" t="n">
        <v>1</v>
      </c>
      <c r="G115" s="2" t="n">
        <v>0</v>
      </c>
      <c r="H115" s="3" t="n">
        <v>45585</v>
      </c>
      <c r="I115" s="5" t="n">
        <v>192.76</v>
      </c>
      <c r="J115" s="15">
        <f>NOW()</f>
        <v/>
      </c>
      <c r="K115" s="17">
        <f>DATE(YEAR(H115),MONTH(H115),1)</f>
        <v/>
      </c>
    </row>
    <row r="116" ht="15" customHeight="1" thickBot="1">
      <c r="A116" s="4" t="inlineStr">
        <is>
          <t>CUST003</t>
        </is>
      </c>
      <c r="B116" s="1" t="inlineStr">
        <is>
          <t>Linda Moore</t>
        </is>
      </c>
      <c r="C116" s="1" t="inlineStr">
        <is>
          <t>North</t>
        </is>
      </c>
      <c r="D116" s="1" t="inlineStr">
        <is>
          <t>Clothing</t>
        </is>
      </c>
      <c r="E116" s="2" t="n">
        <v>661.09</v>
      </c>
      <c r="F116" s="2" t="n">
        <v>1</v>
      </c>
      <c r="G116" s="2" t="n">
        <v>0.2</v>
      </c>
      <c r="H116" s="3" t="n">
        <v>45593</v>
      </c>
      <c r="I116" s="5" t="n">
        <v>264.44</v>
      </c>
      <c r="J116" s="15">
        <f>NOW()</f>
        <v/>
      </c>
      <c r="K116" s="17">
        <f>DATE(YEAR(H116),MONTH(H116),1)</f>
        <v/>
      </c>
    </row>
    <row r="117" ht="15" customHeight="1" thickBot="1">
      <c r="A117" s="4" t="inlineStr">
        <is>
          <t>CUST012</t>
        </is>
      </c>
      <c r="B117" s="1" t="inlineStr">
        <is>
          <t>David Brown</t>
        </is>
      </c>
      <c r="C117" s="1" t="inlineStr">
        <is>
          <t>West</t>
        </is>
      </c>
      <c r="D117" s="1" t="inlineStr">
        <is>
          <t>Electronics</t>
        </is>
      </c>
      <c r="E117" s="2" t="n">
        <v>688.83</v>
      </c>
      <c r="F117" s="2" t="n">
        <v>15</v>
      </c>
      <c r="G117" s="2" t="n">
        <v>0</v>
      </c>
      <c r="H117" s="3" t="n">
        <v>45595</v>
      </c>
      <c r="I117" s="5" t="n">
        <v>172.21</v>
      </c>
      <c r="J117" s="15">
        <f>NOW()</f>
        <v/>
      </c>
      <c r="K117" s="17">
        <f>DATE(YEAR(H117),MONTH(H117),1)</f>
        <v/>
      </c>
    </row>
    <row r="118" ht="15" customHeight="1" thickBot="1">
      <c r="A118" s="4" t="inlineStr">
        <is>
          <t>CUST013</t>
        </is>
      </c>
      <c r="B118" s="1" t="inlineStr">
        <is>
          <t>Linda Wilson</t>
        </is>
      </c>
      <c r="C118" s="1" t="inlineStr">
        <is>
          <t>Central</t>
        </is>
      </c>
      <c r="D118" s="1" t="inlineStr">
        <is>
          <t>Books</t>
        </is>
      </c>
      <c r="E118" s="2" t="n">
        <v>1249.1</v>
      </c>
      <c r="F118" s="2" t="n">
        <v>4</v>
      </c>
      <c r="G118" s="2" t="n">
        <v>0.05</v>
      </c>
      <c r="H118" s="3" t="n">
        <v>45597</v>
      </c>
      <c r="I118" s="5" t="n">
        <v>474.66</v>
      </c>
      <c r="J118" s="15">
        <f>NOW()</f>
        <v/>
      </c>
      <c r="K118" s="17">
        <f>DATE(YEAR(H118),MONTH(H118),1)</f>
        <v/>
      </c>
    </row>
    <row r="119" ht="15" customHeight="1" thickBot="1">
      <c r="A119" s="4" t="inlineStr">
        <is>
          <t>CUST008</t>
        </is>
      </c>
      <c r="B119" s="1" t="inlineStr">
        <is>
          <t>James Wilson</t>
        </is>
      </c>
      <c r="C119" s="1" t="inlineStr">
        <is>
          <t>East</t>
        </is>
      </c>
      <c r="D119" s="1" t="inlineStr">
        <is>
          <t>Office Supplies</t>
        </is>
      </c>
      <c r="E119" s="2" t="n">
        <v>1014.22</v>
      </c>
      <c r="F119" s="2" t="n">
        <v>14</v>
      </c>
      <c r="G119" s="2" t="n">
        <v>0.05</v>
      </c>
      <c r="H119" s="3" t="n">
        <v>45599</v>
      </c>
      <c r="I119" s="5" t="n">
        <v>433.58</v>
      </c>
      <c r="J119" s="15">
        <f>NOW()</f>
        <v/>
      </c>
      <c r="K119" s="17">
        <f>DATE(YEAR(H119),MONTH(H119),1)</f>
        <v/>
      </c>
    </row>
    <row r="120" ht="15" customHeight="1" thickBot="1">
      <c r="A120" s="4" t="inlineStr">
        <is>
          <t>CUST025</t>
        </is>
      </c>
      <c r="B120" s="1" t="inlineStr">
        <is>
          <t>Lisa Davis</t>
        </is>
      </c>
      <c r="C120" s="1" t="inlineStr">
        <is>
          <t>East</t>
        </is>
      </c>
      <c r="D120" s="1" t="inlineStr">
        <is>
          <t>Books</t>
        </is>
      </c>
      <c r="E120" s="2" t="n">
        <v>1010.58</v>
      </c>
      <c r="F120" s="2" t="n">
        <v>2</v>
      </c>
      <c r="G120" s="2" t="n">
        <v>0.15</v>
      </c>
      <c r="H120" s="3" t="n">
        <v>45605</v>
      </c>
      <c r="I120" s="5" t="n">
        <v>343.6</v>
      </c>
      <c r="J120" s="15">
        <f>NOW()</f>
        <v/>
      </c>
      <c r="K120" s="17">
        <f>DATE(YEAR(H120),MONTH(H120),1)</f>
        <v/>
      </c>
    </row>
    <row r="121" ht="15" customHeight="1" thickBot="1">
      <c r="A121" s="4" t="inlineStr">
        <is>
          <t>CUST026</t>
        </is>
      </c>
      <c r="B121" s="1" t="inlineStr">
        <is>
          <t>Mary Wilson</t>
        </is>
      </c>
      <c r="C121" s="1" t="inlineStr">
        <is>
          <t>North</t>
        </is>
      </c>
      <c r="D121" s="1" t="inlineStr">
        <is>
          <t>Furniture</t>
        </is>
      </c>
      <c r="E121" s="2" t="n">
        <v>957.29</v>
      </c>
      <c r="F121" s="2" t="n">
        <v>4</v>
      </c>
      <c r="G121" s="2" t="n">
        <v>0.05</v>
      </c>
      <c r="H121" s="3" t="n">
        <v>45605</v>
      </c>
      <c r="I121" s="5" t="n">
        <v>318.3</v>
      </c>
      <c r="J121" s="15">
        <f>NOW()</f>
        <v/>
      </c>
      <c r="K121" s="17">
        <f>DATE(YEAR(H121),MONTH(H121),1)</f>
        <v/>
      </c>
    </row>
    <row r="122" ht="15" customHeight="1" thickBot="1">
      <c r="A122" s="4" t="inlineStr">
        <is>
          <t>CUST001</t>
        </is>
      </c>
      <c r="B122" s="1" t="inlineStr">
        <is>
          <t>Lisa Thomas</t>
        </is>
      </c>
      <c r="C122" s="1" t="inlineStr">
        <is>
          <t>North</t>
        </is>
      </c>
      <c r="D122" s="1" t="inlineStr">
        <is>
          <t>Furniture</t>
        </is>
      </c>
      <c r="E122" s="2" t="n">
        <v>1077.92</v>
      </c>
      <c r="F122" s="2" t="n">
        <v>3</v>
      </c>
      <c r="G122" s="2" t="n">
        <v>0.05</v>
      </c>
      <c r="H122" s="3" t="n">
        <v>45608</v>
      </c>
      <c r="I122" s="5" t="n">
        <v>358.41</v>
      </c>
      <c r="J122" s="15">
        <f>NOW()</f>
        <v/>
      </c>
      <c r="K122" s="17">
        <f>DATE(YEAR(H122),MONTH(H122),1)</f>
        <v/>
      </c>
    </row>
    <row r="123" ht="15" customHeight="1" thickBot="1">
      <c r="A123" s="4" t="inlineStr">
        <is>
          <t>CUST028</t>
        </is>
      </c>
      <c r="B123" s="1" t="inlineStr">
        <is>
          <t>Linda Brown</t>
        </is>
      </c>
      <c r="C123" s="1" t="inlineStr">
        <is>
          <t>South</t>
        </is>
      </c>
      <c r="D123" s="1" t="inlineStr">
        <is>
          <t>Clothing</t>
        </is>
      </c>
      <c r="E123" s="2" t="n">
        <v>1163.01</v>
      </c>
      <c r="F123" s="2" t="n">
        <v>5</v>
      </c>
      <c r="G123" s="2" t="n">
        <v>0</v>
      </c>
      <c r="H123" s="3" t="n">
        <v>45611</v>
      </c>
      <c r="I123" s="5" t="n">
        <v>581.5</v>
      </c>
      <c r="J123" s="15">
        <f>NOW()</f>
        <v/>
      </c>
      <c r="K123" s="17">
        <f>DATE(YEAR(H123),MONTH(H123),1)</f>
        <v/>
      </c>
    </row>
    <row r="124" ht="15" customHeight="1" thickBot="1">
      <c r="A124" s="4" t="inlineStr">
        <is>
          <t>CUST025</t>
        </is>
      </c>
      <c r="B124" s="1" t="inlineStr">
        <is>
          <t>Lisa Thomas</t>
        </is>
      </c>
      <c r="C124" s="1" t="inlineStr">
        <is>
          <t>East</t>
        </is>
      </c>
      <c r="D124" s="1" t="inlineStr">
        <is>
          <t>Office Supplies</t>
        </is>
      </c>
      <c r="E124" s="2" t="n">
        <v>1014.56</v>
      </c>
      <c r="F124" s="2" t="n">
        <v>10</v>
      </c>
      <c r="G124" s="2" t="n">
        <v>0.1</v>
      </c>
      <c r="H124" s="3" t="n">
        <v>45612</v>
      </c>
      <c r="I124" s="5" t="n">
        <v>410.9</v>
      </c>
      <c r="J124" s="15">
        <f>NOW()</f>
        <v/>
      </c>
      <c r="K124" s="17">
        <f>DATE(YEAR(H124),MONTH(H124),1)</f>
        <v/>
      </c>
    </row>
    <row r="125" ht="15" customHeight="1" thickBot="1">
      <c r="A125" s="4" t="inlineStr">
        <is>
          <t>CUST019</t>
        </is>
      </c>
      <c r="B125" s="1" t="inlineStr">
        <is>
          <t>James Taylor</t>
        </is>
      </c>
      <c r="C125" s="1" t="inlineStr">
        <is>
          <t>South</t>
        </is>
      </c>
      <c r="D125" s="1" t="inlineStr">
        <is>
          <t>Electronics</t>
        </is>
      </c>
      <c r="E125" s="2" t="n">
        <v>718.04</v>
      </c>
      <c r="F125" s="2" t="n">
        <v>14</v>
      </c>
      <c r="G125" s="2" t="n">
        <v>0</v>
      </c>
      <c r="H125" s="3" t="n">
        <v>45613</v>
      </c>
      <c r="I125" s="5" t="n">
        <v>179.51</v>
      </c>
      <c r="J125" s="15">
        <f>NOW()</f>
        <v/>
      </c>
      <c r="K125" s="17">
        <f>DATE(YEAR(H125),MONTH(H125),1)</f>
        <v/>
      </c>
    </row>
    <row r="126" ht="15" customHeight="1" thickBot="1">
      <c r="A126" s="4" t="inlineStr">
        <is>
          <t>CUST004</t>
        </is>
      </c>
      <c r="B126" s="1" t="inlineStr">
        <is>
          <t>James Taylor</t>
        </is>
      </c>
      <c r="C126" s="1" t="inlineStr">
        <is>
          <t>Central</t>
        </is>
      </c>
      <c r="D126" s="1" t="inlineStr">
        <is>
          <t>Clothing</t>
        </is>
      </c>
      <c r="E126" s="2" t="n">
        <v>1277.85</v>
      </c>
      <c r="F126" s="2" t="n">
        <v>18</v>
      </c>
      <c r="G126" s="2" t="n">
        <v>0.2</v>
      </c>
      <c r="H126" s="3" t="n">
        <v>45613</v>
      </c>
      <c r="I126" s="5" t="n">
        <v>511.14</v>
      </c>
      <c r="J126" s="15">
        <f>NOW()</f>
        <v/>
      </c>
      <c r="K126" s="17">
        <f>DATE(YEAR(H126),MONTH(H126),1)</f>
        <v/>
      </c>
    </row>
    <row r="127" ht="15" customHeight="1" thickBot="1">
      <c r="A127" s="4" t="inlineStr">
        <is>
          <t>CUST024</t>
        </is>
      </c>
      <c r="B127" s="1" t="inlineStr">
        <is>
          <t>James Wilson</t>
        </is>
      </c>
      <c r="C127" s="1" t="inlineStr">
        <is>
          <t>North</t>
        </is>
      </c>
      <c r="D127" s="1" t="inlineStr">
        <is>
          <t>Electronics</t>
        </is>
      </c>
      <c r="E127" s="2" t="n">
        <v>706.73</v>
      </c>
      <c r="F127" s="2" t="n">
        <v>1</v>
      </c>
      <c r="G127" s="2" t="n">
        <v>0.15</v>
      </c>
      <c r="H127" s="3" t="n">
        <v>45613</v>
      </c>
      <c r="I127" s="5" t="n">
        <v>150.18</v>
      </c>
      <c r="J127" s="15">
        <f>NOW()</f>
        <v/>
      </c>
      <c r="K127" s="17">
        <f>DATE(YEAR(H127),MONTH(H127),1)</f>
        <v/>
      </c>
    </row>
    <row r="128" ht="15" customHeight="1" thickBot="1">
      <c r="A128" s="4" t="inlineStr">
        <is>
          <t>CUST002</t>
        </is>
      </c>
      <c r="B128" s="1" t="inlineStr">
        <is>
          <t>Linda Brown</t>
        </is>
      </c>
      <c r="C128" s="1" t="inlineStr">
        <is>
          <t>East</t>
        </is>
      </c>
      <c r="D128" s="1" t="inlineStr">
        <is>
          <t>Electronics</t>
        </is>
      </c>
      <c r="E128" s="2" t="n">
        <v>1410.59</v>
      </c>
      <c r="F128" s="2" t="n">
        <v>15</v>
      </c>
      <c r="G128" s="2" t="n">
        <v>0</v>
      </c>
      <c r="H128" s="3" t="n">
        <v>45615</v>
      </c>
      <c r="I128" s="5" t="n">
        <v>352.65</v>
      </c>
      <c r="J128" s="15">
        <f>NOW()</f>
        <v/>
      </c>
      <c r="K128" s="17">
        <f>DATE(YEAR(H128),MONTH(H128),1)</f>
        <v/>
      </c>
    </row>
    <row r="129" ht="15" customHeight="1" thickBot="1">
      <c r="A129" s="4" t="inlineStr">
        <is>
          <t>CUST009</t>
        </is>
      </c>
      <c r="B129" s="1" t="inlineStr">
        <is>
          <t>Emma Wilson</t>
        </is>
      </c>
      <c r="C129" s="1" t="inlineStr">
        <is>
          <t>South</t>
        </is>
      </c>
      <c r="D129" s="1" t="inlineStr">
        <is>
          <t>Furniture</t>
        </is>
      </c>
      <c r="E129" s="2" t="n">
        <v>1350.33</v>
      </c>
      <c r="F129" s="2" t="n">
        <v>10</v>
      </c>
      <c r="G129" s="2" t="n">
        <v>0</v>
      </c>
      <c r="H129" s="3" t="n">
        <v>45615</v>
      </c>
      <c r="I129" s="5" t="n">
        <v>472.62</v>
      </c>
      <c r="J129" s="15">
        <f>NOW()</f>
        <v/>
      </c>
      <c r="K129" s="17">
        <f>DATE(YEAR(H129),MONTH(H129),1)</f>
        <v/>
      </c>
    </row>
    <row r="130" ht="15" customHeight="1" thickBot="1">
      <c r="A130" s="4" t="inlineStr">
        <is>
          <t>CUST029</t>
        </is>
      </c>
      <c r="B130" s="1" t="inlineStr">
        <is>
          <t>Lisa Thomas</t>
        </is>
      </c>
      <c r="C130" s="1" t="inlineStr">
        <is>
          <t>East</t>
        </is>
      </c>
      <c r="D130" s="1" t="inlineStr">
        <is>
          <t>Electronics</t>
        </is>
      </c>
      <c r="E130" s="2" t="n">
        <v>919.1799999999999</v>
      </c>
      <c r="F130" s="2" t="n">
        <v>4</v>
      </c>
      <c r="G130" s="2" t="n">
        <v>0.15</v>
      </c>
      <c r="H130" s="3" t="n">
        <v>45615</v>
      </c>
      <c r="I130" s="5" t="n">
        <v>195.33</v>
      </c>
      <c r="J130" s="15">
        <f>NOW()</f>
        <v/>
      </c>
      <c r="K130" s="17">
        <f>DATE(YEAR(H130),MONTH(H130),1)</f>
        <v/>
      </c>
    </row>
    <row r="131" ht="15" customHeight="1" thickBot="1">
      <c r="A131" s="4" t="inlineStr">
        <is>
          <t>CUST027</t>
        </is>
      </c>
      <c r="B131" s="1" t="inlineStr">
        <is>
          <t>James Wilson</t>
        </is>
      </c>
      <c r="C131" s="1" t="inlineStr">
        <is>
          <t>West</t>
        </is>
      </c>
      <c r="D131" s="1" t="inlineStr">
        <is>
          <t>Electronics</t>
        </is>
      </c>
      <c r="E131" s="2" t="n">
        <v>258.51</v>
      </c>
      <c r="F131" s="2" t="n">
        <v>19</v>
      </c>
      <c r="G131" s="2" t="n">
        <v>0</v>
      </c>
      <c r="H131" s="3" t="n">
        <v>45616</v>
      </c>
      <c r="I131" s="5" t="n">
        <v>64.63</v>
      </c>
      <c r="J131" s="15">
        <f>NOW()</f>
        <v/>
      </c>
      <c r="K131" s="17">
        <f>DATE(YEAR(H131),MONTH(H131),1)</f>
        <v/>
      </c>
    </row>
    <row r="132" ht="15" customHeight="1" thickBot="1">
      <c r="A132" s="4" t="inlineStr">
        <is>
          <t>CUST011</t>
        </is>
      </c>
      <c r="B132" s="1" t="inlineStr">
        <is>
          <t>Emma Wilson</t>
        </is>
      </c>
      <c r="C132" s="1" t="inlineStr">
        <is>
          <t>East</t>
        </is>
      </c>
      <c r="D132" s="1" t="inlineStr">
        <is>
          <t>Books</t>
        </is>
      </c>
      <c r="E132" s="2" t="n">
        <v>1213.48</v>
      </c>
      <c r="F132" s="2" t="n">
        <v>5</v>
      </c>
      <c r="G132" s="2" t="n">
        <v>0.05</v>
      </c>
      <c r="H132" s="3" t="n">
        <v>45616</v>
      </c>
      <c r="I132" s="5" t="n">
        <v>461.12</v>
      </c>
      <c r="J132" s="15">
        <f>NOW()</f>
        <v/>
      </c>
      <c r="K132" s="17">
        <f>DATE(YEAR(H132),MONTH(H132),1)</f>
        <v/>
      </c>
    </row>
    <row r="133" ht="15" customHeight="1" thickBot="1">
      <c r="A133" s="4" t="inlineStr">
        <is>
          <t>CUST021</t>
        </is>
      </c>
      <c r="B133" s="1" t="inlineStr">
        <is>
          <t>Emma Davis</t>
        </is>
      </c>
      <c r="C133" s="1" t="inlineStr">
        <is>
          <t>Central</t>
        </is>
      </c>
      <c r="D133" s="1" t="inlineStr">
        <is>
          <t>Books</t>
        </is>
      </c>
      <c r="E133" s="2" t="n">
        <v>1150.28</v>
      </c>
      <c r="F133" s="2" t="n">
        <v>8</v>
      </c>
      <c r="G133" s="2" t="n">
        <v>0.05</v>
      </c>
      <c r="H133" s="3" t="n">
        <v>45622</v>
      </c>
      <c r="I133" s="5" t="n">
        <v>437.11</v>
      </c>
      <c r="J133" s="15">
        <f>NOW()</f>
        <v/>
      </c>
      <c r="K133" s="17">
        <f>DATE(YEAR(H133),MONTH(H133),1)</f>
        <v/>
      </c>
    </row>
    <row r="134" ht="15" customHeight="1" thickBot="1">
      <c r="A134" s="4" t="inlineStr">
        <is>
          <t>CUST014</t>
        </is>
      </c>
      <c r="B134" s="1" t="inlineStr">
        <is>
          <t>David Anderson</t>
        </is>
      </c>
      <c r="C134" s="1" t="inlineStr">
        <is>
          <t>South</t>
        </is>
      </c>
      <c r="D134" s="1" t="inlineStr">
        <is>
          <t>Furniture</t>
        </is>
      </c>
      <c r="E134" s="2" t="n">
        <v>853.86</v>
      </c>
      <c r="F134" s="2" t="n">
        <v>8</v>
      </c>
      <c r="G134" s="2" t="n">
        <v>0.1</v>
      </c>
      <c r="H134" s="3" t="n">
        <v>45622</v>
      </c>
      <c r="I134" s="5" t="n">
        <v>268.97</v>
      </c>
      <c r="J134" s="15">
        <f>NOW()</f>
        <v/>
      </c>
      <c r="K134" s="17">
        <f>DATE(YEAR(H134),MONTH(H134),1)</f>
        <v/>
      </c>
    </row>
    <row r="135" ht="15" customHeight="1" thickBot="1">
      <c r="A135" s="4" t="inlineStr">
        <is>
          <t>CUST018</t>
        </is>
      </c>
      <c r="B135" s="1" t="inlineStr">
        <is>
          <t>Lisa Thomas</t>
        </is>
      </c>
      <c r="C135" s="1" t="inlineStr">
        <is>
          <t>South</t>
        </is>
      </c>
      <c r="D135" s="1" t="inlineStr">
        <is>
          <t>Electronics</t>
        </is>
      </c>
      <c r="E135" s="2" t="n">
        <v>1061.04</v>
      </c>
      <c r="F135" s="2" t="n">
        <v>1</v>
      </c>
      <c r="G135" s="2" t="n">
        <v>0</v>
      </c>
      <c r="H135" s="3" t="n">
        <v>45624</v>
      </c>
      <c r="I135" s="5" t="n">
        <v>265.26</v>
      </c>
      <c r="J135" s="15">
        <f>NOW()</f>
        <v/>
      </c>
      <c r="K135" s="17">
        <f>DATE(YEAR(H135),MONTH(H135),1)</f>
        <v/>
      </c>
    </row>
    <row r="136" ht="15" customHeight="1" thickBot="1">
      <c r="A136" s="4" t="inlineStr">
        <is>
          <t>CUST001</t>
        </is>
      </c>
      <c r="B136" s="1" t="inlineStr">
        <is>
          <t>Sarah Anderson</t>
        </is>
      </c>
      <c r="C136" s="1" t="inlineStr">
        <is>
          <t>West</t>
        </is>
      </c>
      <c r="D136" s="1" t="inlineStr">
        <is>
          <t>Electronics</t>
        </is>
      </c>
      <c r="E136" s="2" t="n">
        <v>894.55</v>
      </c>
      <c r="F136" s="2" t="n">
        <v>19</v>
      </c>
      <c r="G136" s="2" t="n">
        <v>0.2</v>
      </c>
      <c r="H136" s="3" t="n">
        <v>45625</v>
      </c>
      <c r="I136" s="5" t="n">
        <v>178.91</v>
      </c>
      <c r="J136" s="15">
        <f>NOW()</f>
        <v/>
      </c>
      <c r="K136" s="17">
        <f>DATE(YEAR(H136),MONTH(H136),1)</f>
        <v/>
      </c>
    </row>
    <row r="137" ht="15" customHeight="1" thickBot="1">
      <c r="A137" s="4" t="inlineStr">
        <is>
          <t>CUST007</t>
        </is>
      </c>
      <c r="B137" s="1" t="inlineStr">
        <is>
          <t>Emma Davis</t>
        </is>
      </c>
      <c r="C137" s="1" t="inlineStr">
        <is>
          <t>North</t>
        </is>
      </c>
      <c r="D137" s="1" t="inlineStr">
        <is>
          <t>Office Supplies</t>
        </is>
      </c>
      <c r="E137" s="2" t="n">
        <v>833.91</v>
      </c>
      <c r="F137" s="2" t="n">
        <v>3</v>
      </c>
      <c r="G137" s="2" t="n">
        <v>0.05</v>
      </c>
      <c r="H137" s="3" t="n">
        <v>45626</v>
      </c>
      <c r="I137" s="5" t="n">
        <v>356.5</v>
      </c>
      <c r="J137" s="15">
        <f>NOW()</f>
        <v/>
      </c>
      <c r="K137" s="17">
        <f>DATE(YEAR(H137),MONTH(H137),1)</f>
        <v/>
      </c>
    </row>
    <row r="138" ht="15" customHeight="1" thickBot="1">
      <c r="A138" s="4" t="inlineStr">
        <is>
          <t>CUST015</t>
        </is>
      </c>
      <c r="B138" s="1" t="inlineStr">
        <is>
          <t>David Anderson</t>
        </is>
      </c>
      <c r="C138" s="1" t="inlineStr">
        <is>
          <t>West</t>
        </is>
      </c>
      <c r="D138" s="1" t="inlineStr">
        <is>
          <t>Furniture</t>
        </is>
      </c>
      <c r="E138" s="2" t="n">
        <v>820.1900000000001</v>
      </c>
      <c r="F138" s="2" t="n">
        <v>4</v>
      </c>
      <c r="G138" s="2" t="n">
        <v>0.2</v>
      </c>
      <c r="H138" s="3" t="n">
        <v>45630</v>
      </c>
      <c r="I138" s="5" t="n">
        <v>229.65</v>
      </c>
      <c r="J138" s="15">
        <f>NOW()</f>
        <v/>
      </c>
      <c r="K138" s="17">
        <f>DATE(YEAR(H138),MONTH(H138),1)</f>
        <v/>
      </c>
    </row>
    <row r="139" ht="15" customHeight="1" thickBot="1">
      <c r="A139" s="4" t="inlineStr">
        <is>
          <t>CUST015</t>
        </is>
      </c>
      <c r="B139" s="1" t="inlineStr">
        <is>
          <t>Emma Davis</t>
        </is>
      </c>
      <c r="C139" s="1" t="inlineStr">
        <is>
          <t>Central</t>
        </is>
      </c>
      <c r="D139" s="1" t="inlineStr">
        <is>
          <t>Electronics</t>
        </is>
      </c>
      <c r="E139" s="2" t="n">
        <v>511.74</v>
      </c>
      <c r="F139" s="2" t="n">
        <v>8</v>
      </c>
      <c r="G139" s="2" t="n">
        <v>0.05</v>
      </c>
      <c r="H139" s="3" t="n">
        <v>45631</v>
      </c>
      <c r="I139" s="5" t="n">
        <v>121.54</v>
      </c>
      <c r="J139" s="15">
        <f>NOW()</f>
        <v/>
      </c>
      <c r="K139" s="17">
        <f>DATE(YEAR(H139),MONTH(H139),1)</f>
        <v/>
      </c>
    </row>
    <row r="140" ht="15" customHeight="1" thickBot="1">
      <c r="A140" s="4" t="inlineStr">
        <is>
          <t>CUST002</t>
        </is>
      </c>
      <c r="B140" s="1" t="inlineStr">
        <is>
          <t>Emma Wilson</t>
        </is>
      </c>
      <c r="C140" s="1" t="inlineStr">
        <is>
          <t>South</t>
        </is>
      </c>
      <c r="D140" s="1" t="inlineStr">
        <is>
          <t>Furniture</t>
        </is>
      </c>
      <c r="E140" s="2" t="n">
        <v>806.03</v>
      </c>
      <c r="F140" s="2" t="n">
        <v>19</v>
      </c>
      <c r="G140" s="2" t="n">
        <v>0.05</v>
      </c>
      <c r="H140" s="3" t="n">
        <v>45638</v>
      </c>
      <c r="I140" s="5" t="n">
        <v>268</v>
      </c>
      <c r="J140" s="15">
        <f>NOW()</f>
        <v/>
      </c>
      <c r="K140" s="17">
        <f>DATE(YEAR(H140),MONTH(H140),1)</f>
        <v/>
      </c>
    </row>
    <row r="141" ht="15" customHeight="1" thickBot="1">
      <c r="A141" s="4" t="inlineStr">
        <is>
          <t>CUST001</t>
        </is>
      </c>
      <c r="B141" s="1" t="inlineStr">
        <is>
          <t>Michael Anderson</t>
        </is>
      </c>
      <c r="C141" s="1" t="inlineStr">
        <is>
          <t>Central</t>
        </is>
      </c>
      <c r="D141" s="1" t="inlineStr">
        <is>
          <t>Furniture</t>
        </is>
      </c>
      <c r="E141" s="2" t="n">
        <v>1432.47</v>
      </c>
      <c r="F141" s="2" t="n">
        <v>16</v>
      </c>
      <c r="G141" s="2" t="n">
        <v>0.15</v>
      </c>
      <c r="H141" s="3" t="n">
        <v>45640</v>
      </c>
      <c r="I141" s="5" t="n">
        <v>426.16</v>
      </c>
      <c r="J141" s="15">
        <f>NOW()</f>
        <v/>
      </c>
      <c r="K141" s="17">
        <f>DATE(YEAR(H141),MONTH(H141),1)</f>
        <v/>
      </c>
    </row>
    <row r="142" ht="15" customHeight="1" thickBot="1">
      <c r="A142" s="4" t="inlineStr">
        <is>
          <t>CUST027</t>
        </is>
      </c>
      <c r="B142" s="1" t="inlineStr">
        <is>
          <t>Linda Wilson</t>
        </is>
      </c>
      <c r="C142" s="1" t="inlineStr">
        <is>
          <t>Central</t>
        </is>
      </c>
      <c r="D142" s="1" t="inlineStr">
        <is>
          <t>Electronics</t>
        </is>
      </c>
      <c r="E142" s="2" t="n">
        <v>1488.58</v>
      </c>
      <c r="F142" s="2" t="n">
        <v>10</v>
      </c>
      <c r="G142" s="2" t="n">
        <v>0.15</v>
      </c>
      <c r="H142" s="3" t="n">
        <v>45640</v>
      </c>
      <c r="I142" s="5" t="n">
        <v>316.32</v>
      </c>
      <c r="J142" s="15">
        <f>NOW()</f>
        <v/>
      </c>
      <c r="K142" s="17">
        <f>DATE(YEAR(H142),MONTH(H142),1)</f>
        <v/>
      </c>
    </row>
    <row r="143" ht="15" customHeight="1" thickBot="1">
      <c r="A143" s="4" t="inlineStr">
        <is>
          <t>CUST026</t>
        </is>
      </c>
      <c r="B143" s="1" t="inlineStr">
        <is>
          <t>Emma Taylor</t>
        </is>
      </c>
      <c r="C143" s="1" t="inlineStr">
        <is>
          <t>East</t>
        </is>
      </c>
      <c r="D143" s="1" t="inlineStr">
        <is>
          <t>Books</t>
        </is>
      </c>
      <c r="E143" s="2" t="n">
        <v>1231.26</v>
      </c>
      <c r="F143" s="2" t="n">
        <v>9</v>
      </c>
      <c r="G143" s="2" t="n">
        <v>0</v>
      </c>
      <c r="H143" s="3" t="n">
        <v>45646</v>
      </c>
      <c r="I143" s="5" t="n">
        <v>492.5</v>
      </c>
      <c r="J143" s="15">
        <f>NOW()</f>
        <v/>
      </c>
      <c r="K143" s="17">
        <f>DATE(YEAR(H143),MONTH(H143),1)</f>
        <v/>
      </c>
    </row>
    <row r="144" ht="15" customHeight="1" thickBot="1">
      <c r="A144" s="4" t="inlineStr">
        <is>
          <t>CUST026</t>
        </is>
      </c>
      <c r="B144" s="1" t="inlineStr">
        <is>
          <t>Sarah Anderson</t>
        </is>
      </c>
      <c r="C144" s="1" t="inlineStr">
        <is>
          <t>West</t>
        </is>
      </c>
      <c r="D144" s="1" t="inlineStr">
        <is>
          <t>Electronics</t>
        </is>
      </c>
      <c r="E144" s="2" t="n">
        <v>1161.67</v>
      </c>
      <c r="F144" s="2" t="n">
        <v>19</v>
      </c>
      <c r="G144" s="2" t="n">
        <v>0.2</v>
      </c>
      <c r="H144" s="3" t="n">
        <v>45647</v>
      </c>
      <c r="I144" s="5" t="n">
        <v>232.33</v>
      </c>
      <c r="J144" s="15">
        <f>NOW()</f>
        <v/>
      </c>
      <c r="K144" s="17">
        <f>DATE(YEAR(H144),MONTH(H144),1)</f>
        <v/>
      </c>
    </row>
    <row r="145" ht="15" customHeight="1" thickBot="1">
      <c r="A145" s="4" t="inlineStr">
        <is>
          <t>CUST022</t>
        </is>
      </c>
      <c r="B145" s="1" t="inlineStr">
        <is>
          <t>Lisa Thomas</t>
        </is>
      </c>
      <c r="C145" s="1" t="inlineStr">
        <is>
          <t>Central</t>
        </is>
      </c>
      <c r="D145" s="1" t="inlineStr">
        <is>
          <t>Office Supplies</t>
        </is>
      </c>
      <c r="E145" s="2" t="n">
        <v>388.23</v>
      </c>
      <c r="F145" s="2" t="n">
        <v>16</v>
      </c>
      <c r="G145" s="2" t="n">
        <v>0.05</v>
      </c>
      <c r="H145" s="3" t="n">
        <v>45650</v>
      </c>
      <c r="I145" s="5" t="n">
        <v>165.97</v>
      </c>
      <c r="J145" s="15">
        <f>NOW()</f>
        <v/>
      </c>
      <c r="K145" s="17">
        <f>DATE(YEAR(H145),MONTH(H145),1)</f>
        <v/>
      </c>
    </row>
    <row r="146" ht="15" customHeight="1" thickBot="1">
      <c r="A146" s="4" t="inlineStr">
        <is>
          <t>CUST004</t>
        </is>
      </c>
      <c r="B146" s="1" t="inlineStr">
        <is>
          <t>Mary Davis</t>
        </is>
      </c>
      <c r="C146" s="1" t="inlineStr">
        <is>
          <t>North</t>
        </is>
      </c>
      <c r="D146" s="1" t="inlineStr">
        <is>
          <t>Clothing</t>
        </is>
      </c>
      <c r="E146" s="2" t="n">
        <v>1589.42</v>
      </c>
      <c r="F146" s="2" t="n">
        <v>6</v>
      </c>
      <c r="G146" s="2" t="n">
        <v>0.15</v>
      </c>
      <c r="H146" s="3" t="n">
        <v>45651</v>
      </c>
      <c r="I146" s="5" t="n">
        <v>675.5</v>
      </c>
      <c r="J146" s="15">
        <f>NOW()</f>
        <v/>
      </c>
      <c r="K146" s="17">
        <f>DATE(YEAR(H146),MONTH(H146),1)</f>
        <v/>
      </c>
    </row>
    <row r="147" ht="15" customHeight="1" thickBot="1">
      <c r="A147" s="4" t="inlineStr">
        <is>
          <t>CUST001</t>
        </is>
      </c>
      <c r="B147" s="1" t="inlineStr">
        <is>
          <t>David Anderson</t>
        </is>
      </c>
      <c r="C147" s="1" t="inlineStr">
        <is>
          <t>North</t>
        </is>
      </c>
      <c r="D147" s="1" t="inlineStr">
        <is>
          <t>Clothing</t>
        </is>
      </c>
      <c r="E147" s="2" t="n">
        <v>336.66</v>
      </c>
      <c r="F147" s="2" t="n">
        <v>13</v>
      </c>
      <c r="G147" s="2" t="n">
        <v>0.2</v>
      </c>
      <c r="H147" s="3" t="n">
        <v>45651</v>
      </c>
      <c r="I147" s="5" t="n">
        <v>134.66</v>
      </c>
      <c r="J147" s="15">
        <f>NOW()</f>
        <v/>
      </c>
      <c r="K147" s="17">
        <f>DATE(YEAR(H147),MONTH(H147),1)</f>
        <v/>
      </c>
    </row>
    <row r="148" ht="15" customHeight="1" thickBot="1">
      <c r="A148" s="4" t="inlineStr">
        <is>
          <t>CUST022</t>
        </is>
      </c>
      <c r="B148" s="1" t="inlineStr">
        <is>
          <t>James Wilson</t>
        </is>
      </c>
      <c r="C148" s="1" t="inlineStr">
        <is>
          <t>West</t>
        </is>
      </c>
      <c r="D148" s="1" t="inlineStr">
        <is>
          <t>Books</t>
        </is>
      </c>
      <c r="E148" s="2" t="n">
        <v>1353.79</v>
      </c>
      <c r="F148" s="2" t="n">
        <v>14</v>
      </c>
      <c r="G148" s="2" t="n">
        <v>0.1</v>
      </c>
      <c r="H148" s="3" t="n">
        <v>45656</v>
      </c>
      <c r="I148" s="5" t="n">
        <v>487.36</v>
      </c>
      <c r="J148" s="15">
        <f>NOW()</f>
        <v/>
      </c>
      <c r="K148" s="17">
        <f>DATE(YEAR(H148),MONTH(H148),1)</f>
        <v/>
      </c>
    </row>
    <row r="149" ht="15" customHeight="1" thickBot="1">
      <c r="A149" s="4" t="inlineStr">
        <is>
          <t>CUST011</t>
        </is>
      </c>
      <c r="B149" s="1" t="inlineStr">
        <is>
          <t>Linda Moore</t>
        </is>
      </c>
      <c r="C149" s="1" t="inlineStr">
        <is>
          <t>Central</t>
        </is>
      </c>
      <c r="D149" s="1" t="inlineStr">
        <is>
          <t>Clothing</t>
        </is>
      </c>
      <c r="E149" s="2" t="n">
        <v>662.61</v>
      </c>
      <c r="F149" s="2" t="n">
        <v>11</v>
      </c>
      <c r="G149" s="2" t="n">
        <v>0.05</v>
      </c>
      <c r="H149" s="3" t="n">
        <v>45658</v>
      </c>
      <c r="I149" s="5" t="n">
        <v>314.74</v>
      </c>
      <c r="J149" s="15">
        <f>NOW()</f>
        <v/>
      </c>
      <c r="K149" s="17">
        <f>DATE(YEAR(H149),MONTH(H149),1)</f>
        <v/>
      </c>
    </row>
    <row r="150" ht="15" customHeight="1" thickBot="1">
      <c r="A150" s="4" t="inlineStr">
        <is>
          <t>CUST028</t>
        </is>
      </c>
      <c r="B150" s="1" t="inlineStr">
        <is>
          <t>Lisa Davis</t>
        </is>
      </c>
      <c r="C150" s="1" t="inlineStr">
        <is>
          <t>North</t>
        </is>
      </c>
      <c r="D150" s="1" t="inlineStr">
        <is>
          <t>Office Supplies</t>
        </is>
      </c>
      <c r="E150" s="2" t="n">
        <v>309.42</v>
      </c>
      <c r="F150" s="2" t="n">
        <v>1</v>
      </c>
      <c r="G150" s="2" t="n">
        <v>0.2</v>
      </c>
      <c r="H150" s="3" t="n">
        <v>45658</v>
      </c>
      <c r="I150" s="5" t="n">
        <v>111.39</v>
      </c>
      <c r="J150" s="15">
        <f>NOW()</f>
        <v/>
      </c>
      <c r="K150" s="17">
        <f>DATE(YEAR(H150),MONTH(H150),1)</f>
        <v/>
      </c>
    </row>
    <row r="151" ht="15" customHeight="1" thickBot="1">
      <c r="A151" s="4" t="inlineStr">
        <is>
          <t>CUST011</t>
        </is>
      </c>
      <c r="B151" s="1" t="inlineStr">
        <is>
          <t>Linda Wilson</t>
        </is>
      </c>
      <c r="C151" s="1" t="inlineStr">
        <is>
          <t>North</t>
        </is>
      </c>
      <c r="D151" s="1" t="inlineStr">
        <is>
          <t>Books</t>
        </is>
      </c>
      <c r="E151" s="2" t="n">
        <v>884.63</v>
      </c>
      <c r="F151" s="2" t="n">
        <v>18</v>
      </c>
      <c r="G151" s="2" t="n">
        <v>0.1</v>
      </c>
      <c r="H151" s="3" t="n">
        <v>45659</v>
      </c>
      <c r="I151" s="5" t="n">
        <v>318.47</v>
      </c>
      <c r="J151" s="15">
        <f>NOW()</f>
        <v/>
      </c>
      <c r="K151" s="17">
        <f>DATE(YEAR(H151),MONTH(H151),1)</f>
        <v/>
      </c>
    </row>
    <row r="152" ht="15" customHeight="1" thickBot="1">
      <c r="A152" s="4" t="inlineStr">
        <is>
          <t>CUST028</t>
        </is>
      </c>
      <c r="B152" s="1" t="inlineStr">
        <is>
          <t>James Wilson</t>
        </is>
      </c>
      <c r="C152" s="1" t="inlineStr">
        <is>
          <t>Central</t>
        </is>
      </c>
      <c r="D152" s="1" t="inlineStr">
        <is>
          <t>Office Supplies</t>
        </is>
      </c>
      <c r="E152" s="2" t="n">
        <v>745.05</v>
      </c>
      <c r="F152" s="2" t="n">
        <v>10</v>
      </c>
      <c r="G152" s="2" t="n">
        <v>0.1</v>
      </c>
      <c r="H152" s="3" t="n">
        <v>45660</v>
      </c>
      <c r="I152" s="5" t="n">
        <v>301.75</v>
      </c>
      <c r="J152" s="15">
        <f>NOW()</f>
        <v/>
      </c>
      <c r="K152" s="17">
        <f>DATE(YEAR(H152),MONTH(H152),1)</f>
        <v/>
      </c>
    </row>
    <row r="153" ht="15" customHeight="1" thickBot="1">
      <c r="A153" s="4" t="inlineStr">
        <is>
          <t>CUST016</t>
        </is>
      </c>
      <c r="B153" s="1" t="inlineStr">
        <is>
          <t>James Taylor</t>
        </is>
      </c>
      <c r="C153" s="1" t="inlineStr">
        <is>
          <t>South</t>
        </is>
      </c>
      <c r="D153" s="1" t="inlineStr">
        <is>
          <t>Clothing</t>
        </is>
      </c>
      <c r="E153" s="2" t="n">
        <v>870.23</v>
      </c>
      <c r="F153" s="2" t="n">
        <v>5</v>
      </c>
      <c r="G153" s="2" t="n">
        <v>0.05</v>
      </c>
      <c r="H153" s="3" t="n">
        <v>45660</v>
      </c>
      <c r="I153" s="5" t="n">
        <v>413.36</v>
      </c>
      <c r="J153" s="15">
        <f>NOW()</f>
        <v/>
      </c>
      <c r="K153" s="17">
        <f>DATE(YEAR(H153),MONTH(H153),1)</f>
        <v/>
      </c>
    </row>
    <row r="154" ht="15" customHeight="1" thickBot="1">
      <c r="A154" s="4" t="inlineStr">
        <is>
          <t>CUST010</t>
        </is>
      </c>
      <c r="B154" s="1" t="inlineStr">
        <is>
          <t>Linda Wilson</t>
        </is>
      </c>
      <c r="C154" s="1" t="inlineStr">
        <is>
          <t>West</t>
        </is>
      </c>
      <c r="D154" s="1" t="inlineStr">
        <is>
          <t>Furniture</t>
        </is>
      </c>
      <c r="E154" s="2" t="n">
        <v>862.1900000000001</v>
      </c>
      <c r="F154" s="2" t="n">
        <v>18</v>
      </c>
      <c r="G154" s="2" t="n">
        <v>0.05</v>
      </c>
      <c r="H154" s="3" t="n">
        <v>45663</v>
      </c>
      <c r="I154" s="5" t="n">
        <v>286.68</v>
      </c>
      <c r="J154" s="15">
        <f>NOW()</f>
        <v/>
      </c>
      <c r="K154" s="17">
        <f>DATE(YEAR(H154),MONTH(H154),1)</f>
        <v/>
      </c>
    </row>
    <row r="155" ht="15" customHeight="1" thickBot="1">
      <c r="A155" s="4" t="inlineStr">
        <is>
          <t>CUST013</t>
        </is>
      </c>
      <c r="B155" s="1" t="inlineStr">
        <is>
          <t>Mary Wilson</t>
        </is>
      </c>
      <c r="C155" s="1" t="inlineStr">
        <is>
          <t>North</t>
        </is>
      </c>
      <c r="D155" s="1" t="inlineStr">
        <is>
          <t>Clothing</t>
        </is>
      </c>
      <c r="E155" s="2" t="n">
        <v>1171.18</v>
      </c>
      <c r="F155" s="2" t="n">
        <v>19</v>
      </c>
      <c r="G155" s="2" t="n">
        <v>0.05</v>
      </c>
      <c r="H155" s="3" t="n">
        <v>45667</v>
      </c>
      <c r="I155" s="5" t="n">
        <v>556.3099999999999</v>
      </c>
      <c r="J155" s="15">
        <f>NOW()</f>
        <v/>
      </c>
      <c r="K155" s="17">
        <f>DATE(YEAR(H155),MONTH(H155),1)</f>
        <v/>
      </c>
    </row>
    <row r="156" ht="15" customHeight="1" thickBot="1">
      <c r="A156" s="4" t="inlineStr">
        <is>
          <t>CUST015</t>
        </is>
      </c>
      <c r="B156" s="1" t="inlineStr">
        <is>
          <t>Robert Anderson</t>
        </is>
      </c>
      <c r="C156" s="1" t="inlineStr">
        <is>
          <t>South</t>
        </is>
      </c>
      <c r="D156" s="1" t="inlineStr">
        <is>
          <t>Furniture</t>
        </is>
      </c>
      <c r="E156" s="2" t="n">
        <v>1054.56</v>
      </c>
      <c r="F156" s="2" t="n">
        <v>11</v>
      </c>
      <c r="G156" s="2" t="n">
        <v>0.1</v>
      </c>
      <c r="H156" s="3" t="n">
        <v>45669</v>
      </c>
      <c r="I156" s="5" t="n">
        <v>332.19</v>
      </c>
      <c r="J156" s="15">
        <f>NOW()</f>
        <v/>
      </c>
      <c r="K156" s="17">
        <f>DATE(YEAR(H156),MONTH(H156),1)</f>
        <v/>
      </c>
    </row>
    <row r="157" ht="15" customHeight="1" thickBot="1">
      <c r="A157" s="4" t="inlineStr">
        <is>
          <t>CUST015</t>
        </is>
      </c>
      <c r="B157" s="1" t="inlineStr">
        <is>
          <t>James Wilson</t>
        </is>
      </c>
      <c r="C157" s="1" t="inlineStr">
        <is>
          <t>North</t>
        </is>
      </c>
      <c r="D157" s="1" t="inlineStr">
        <is>
          <t>Electronics</t>
        </is>
      </c>
      <c r="E157" s="2" t="n">
        <v>1681.21</v>
      </c>
      <c r="F157" s="2" t="n">
        <v>5</v>
      </c>
      <c r="G157" s="2" t="n">
        <v>0.2</v>
      </c>
      <c r="H157" s="3" t="n">
        <v>45670</v>
      </c>
      <c r="I157" s="5" t="n">
        <v>336.24</v>
      </c>
      <c r="J157" s="15">
        <f>NOW()</f>
        <v/>
      </c>
      <c r="K157" s="17">
        <f>DATE(YEAR(H157),MONTH(H157),1)</f>
        <v/>
      </c>
    </row>
    <row r="158" ht="15" customHeight="1" thickBot="1">
      <c r="A158" s="4" t="inlineStr">
        <is>
          <t>CUST015</t>
        </is>
      </c>
      <c r="B158" s="1" t="inlineStr">
        <is>
          <t>David Thomas</t>
        </is>
      </c>
      <c r="C158" s="1" t="inlineStr">
        <is>
          <t>West</t>
        </is>
      </c>
      <c r="D158" s="1" t="inlineStr">
        <is>
          <t>Clothing</t>
        </is>
      </c>
      <c r="E158" s="2" t="n">
        <v>379.77</v>
      </c>
      <c r="F158" s="2" t="n">
        <v>9</v>
      </c>
      <c r="G158" s="2" t="n">
        <v>0.05</v>
      </c>
      <c r="H158" s="3" t="n">
        <v>45673</v>
      </c>
      <c r="I158" s="5" t="n">
        <v>180.39</v>
      </c>
      <c r="J158" s="15">
        <f>NOW()</f>
        <v/>
      </c>
      <c r="K158" s="17">
        <f>DATE(YEAR(H158),MONTH(H158),1)</f>
        <v/>
      </c>
    </row>
    <row r="159" ht="15" customHeight="1" thickBot="1">
      <c r="A159" s="4" t="inlineStr">
        <is>
          <t>CUST008</t>
        </is>
      </c>
      <c r="B159" s="1" t="inlineStr">
        <is>
          <t>Lisa Thomas</t>
        </is>
      </c>
      <c r="C159" s="1" t="inlineStr">
        <is>
          <t>Central</t>
        </is>
      </c>
      <c r="D159" s="1" t="inlineStr">
        <is>
          <t>Clothing</t>
        </is>
      </c>
      <c r="E159" s="2" t="n">
        <v>1076.33</v>
      </c>
      <c r="F159" s="2" t="n">
        <v>2</v>
      </c>
      <c r="G159" s="2" t="n">
        <v>0.1</v>
      </c>
      <c r="H159" s="3" t="n">
        <v>45674</v>
      </c>
      <c r="I159" s="5" t="n">
        <v>484.35</v>
      </c>
      <c r="J159" s="15">
        <f>NOW()</f>
        <v/>
      </c>
      <c r="K159" s="17">
        <f>DATE(YEAR(H159),MONTH(H159),1)</f>
        <v/>
      </c>
    </row>
    <row r="160" ht="15" customHeight="1" thickBot="1">
      <c r="A160" s="4" t="inlineStr">
        <is>
          <t>CUST008</t>
        </is>
      </c>
      <c r="B160" s="1" t="inlineStr">
        <is>
          <t>Mary Davis</t>
        </is>
      </c>
      <c r="C160" s="1" t="inlineStr">
        <is>
          <t>Central</t>
        </is>
      </c>
      <c r="D160" s="1" t="inlineStr">
        <is>
          <t>Office Supplies</t>
        </is>
      </c>
      <c r="E160" s="2" t="n">
        <v>1250.71</v>
      </c>
      <c r="F160" s="2" t="n">
        <v>7</v>
      </c>
      <c r="G160" s="2" t="n">
        <v>0</v>
      </c>
      <c r="H160" s="3" t="n">
        <v>45674</v>
      </c>
      <c r="I160" s="5" t="n">
        <v>562.8200000000001</v>
      </c>
      <c r="J160" s="15">
        <f>NOW()</f>
        <v/>
      </c>
      <c r="K160" s="17">
        <f>DATE(YEAR(H160),MONTH(H160),1)</f>
        <v/>
      </c>
    </row>
    <row r="161" ht="15" customHeight="1" thickBot="1">
      <c r="A161" s="4" t="inlineStr">
        <is>
          <t>CUST023</t>
        </is>
      </c>
      <c r="B161" s="1" t="inlineStr">
        <is>
          <t>James Taylor</t>
        </is>
      </c>
      <c r="C161" s="1" t="inlineStr">
        <is>
          <t>South</t>
        </is>
      </c>
      <c r="D161" s="1" t="inlineStr">
        <is>
          <t>Clothing</t>
        </is>
      </c>
      <c r="E161" s="2" t="n">
        <v>1118.34</v>
      </c>
      <c r="F161" s="2" t="n">
        <v>6</v>
      </c>
      <c r="G161" s="2" t="n">
        <v>0.2</v>
      </c>
      <c r="H161" s="3" t="n">
        <v>45674</v>
      </c>
      <c r="I161" s="5" t="n">
        <v>447.34</v>
      </c>
      <c r="J161" s="15">
        <f>NOW()</f>
        <v/>
      </c>
      <c r="K161" s="17">
        <f>DATE(YEAR(H161),MONTH(H161),1)</f>
        <v/>
      </c>
    </row>
    <row r="162" ht="15" customHeight="1" thickBot="1">
      <c r="A162" s="4" t="inlineStr">
        <is>
          <t>CUST024</t>
        </is>
      </c>
      <c r="B162" s="1" t="inlineStr">
        <is>
          <t>Linda Taylor</t>
        </is>
      </c>
      <c r="C162" s="1" t="inlineStr">
        <is>
          <t>North</t>
        </is>
      </c>
      <c r="D162" s="1" t="inlineStr">
        <is>
          <t>Clothing</t>
        </is>
      </c>
      <c r="E162" s="2" t="n">
        <v>1622.62</v>
      </c>
      <c r="F162" s="2" t="n">
        <v>12</v>
      </c>
      <c r="G162" s="2" t="n">
        <v>0.2</v>
      </c>
      <c r="H162" s="3" t="n">
        <v>45677</v>
      </c>
      <c r="I162" s="5" t="n">
        <v>649.05</v>
      </c>
      <c r="J162" s="15">
        <f>NOW()</f>
        <v/>
      </c>
      <c r="K162" s="17">
        <f>DATE(YEAR(H162),MONTH(H162),1)</f>
        <v/>
      </c>
    </row>
    <row r="163" ht="15" customHeight="1" thickBot="1">
      <c r="A163" s="4" t="inlineStr">
        <is>
          <t>CUST018</t>
        </is>
      </c>
      <c r="B163" s="1" t="inlineStr">
        <is>
          <t>Lisa Davis</t>
        </is>
      </c>
      <c r="C163" s="1" t="inlineStr">
        <is>
          <t>North</t>
        </is>
      </c>
      <c r="D163" s="1" t="inlineStr">
        <is>
          <t>Books</t>
        </is>
      </c>
      <c r="E163" s="2" t="n">
        <v>640.64</v>
      </c>
      <c r="F163" s="2" t="n">
        <v>11</v>
      </c>
      <c r="G163" s="2" t="n">
        <v>0.2</v>
      </c>
      <c r="H163" s="3" t="n">
        <v>45678</v>
      </c>
      <c r="I163" s="5" t="n">
        <v>205</v>
      </c>
      <c r="J163" s="15">
        <f>NOW()</f>
        <v/>
      </c>
      <c r="K163" s="17">
        <f>DATE(YEAR(H163),MONTH(H163),1)</f>
        <v/>
      </c>
    </row>
    <row r="164" ht="15" customHeight="1" thickBot="1">
      <c r="A164" s="4" t="inlineStr">
        <is>
          <t>CUST030</t>
        </is>
      </c>
      <c r="B164" s="1" t="inlineStr">
        <is>
          <t>Sarah Anderson</t>
        </is>
      </c>
      <c r="C164" s="1" t="inlineStr">
        <is>
          <t>West</t>
        </is>
      </c>
      <c r="D164" s="1" t="inlineStr">
        <is>
          <t>Clothing</t>
        </is>
      </c>
      <c r="E164" s="2" t="n">
        <v>585.16</v>
      </c>
      <c r="F164" s="2" t="n">
        <v>17</v>
      </c>
      <c r="G164" s="2" t="n">
        <v>0.1</v>
      </c>
      <c r="H164" s="3" t="n">
        <v>45684</v>
      </c>
      <c r="I164" s="5" t="n">
        <v>263.32</v>
      </c>
      <c r="J164" s="15">
        <f>NOW()</f>
        <v/>
      </c>
      <c r="K164" s="17">
        <f>DATE(YEAR(H164),MONTH(H164),1)</f>
        <v/>
      </c>
    </row>
    <row r="165" ht="15" customHeight="1" thickBot="1">
      <c r="A165" s="4" t="inlineStr">
        <is>
          <t>CUST030</t>
        </is>
      </c>
      <c r="B165" s="1" t="inlineStr">
        <is>
          <t>Mary Davis</t>
        </is>
      </c>
      <c r="C165" s="1" t="inlineStr">
        <is>
          <t>East</t>
        </is>
      </c>
      <c r="D165" s="1" t="inlineStr">
        <is>
          <t>Clothing</t>
        </is>
      </c>
      <c r="E165" s="2" t="n">
        <v>1109.98</v>
      </c>
      <c r="F165" s="2" t="n">
        <v>5</v>
      </c>
      <c r="G165" s="2" t="n">
        <v>0.2</v>
      </c>
      <c r="H165" s="3" t="n">
        <v>45690</v>
      </c>
      <c r="I165" s="5" t="n">
        <v>443.99</v>
      </c>
      <c r="J165" s="15">
        <f>NOW()</f>
        <v/>
      </c>
      <c r="K165" s="17">
        <f>DATE(YEAR(H165),MONTH(H165),1)</f>
        <v/>
      </c>
    </row>
    <row r="166" ht="15" customHeight="1" thickBot="1">
      <c r="A166" s="4" t="inlineStr">
        <is>
          <t>CUST015</t>
        </is>
      </c>
      <c r="B166" s="1" t="inlineStr">
        <is>
          <t>Lisa Thomas</t>
        </is>
      </c>
      <c r="C166" s="1" t="inlineStr">
        <is>
          <t>East</t>
        </is>
      </c>
      <c r="D166" s="1" t="inlineStr">
        <is>
          <t>Books</t>
        </is>
      </c>
      <c r="E166" s="2" t="n">
        <v>1098.08</v>
      </c>
      <c r="F166" s="2" t="n">
        <v>9</v>
      </c>
      <c r="G166" s="2" t="n">
        <v>0.1</v>
      </c>
      <c r="H166" s="3" t="n">
        <v>45692</v>
      </c>
      <c r="I166" s="5" t="n">
        <v>395.31</v>
      </c>
      <c r="J166" s="15">
        <f>NOW()</f>
        <v/>
      </c>
      <c r="K166" s="17">
        <f>DATE(YEAR(H166),MONTH(H166),1)</f>
        <v/>
      </c>
    </row>
    <row r="167" ht="15" customHeight="1" thickBot="1">
      <c r="A167" s="4" t="inlineStr">
        <is>
          <t>CUST002</t>
        </is>
      </c>
      <c r="B167" s="1" t="inlineStr">
        <is>
          <t>Lisa Davis</t>
        </is>
      </c>
      <c r="C167" s="1" t="inlineStr">
        <is>
          <t>West</t>
        </is>
      </c>
      <c r="D167" s="1" t="inlineStr">
        <is>
          <t>Office Supplies</t>
        </is>
      </c>
      <c r="E167" s="2" t="n">
        <v>827.25</v>
      </c>
      <c r="F167" s="2" t="n">
        <v>7</v>
      </c>
      <c r="G167" s="2" t="n">
        <v>0.1</v>
      </c>
      <c r="H167" s="3" t="n">
        <v>45693</v>
      </c>
      <c r="I167" s="5" t="n">
        <v>335.04</v>
      </c>
      <c r="J167" s="15">
        <f>NOW()</f>
        <v/>
      </c>
      <c r="K167" s="17">
        <f>DATE(YEAR(H167),MONTH(H167),1)</f>
        <v/>
      </c>
    </row>
    <row r="168" ht="15" customHeight="1" thickBot="1">
      <c r="A168" s="4" t="inlineStr">
        <is>
          <t>CUST024</t>
        </is>
      </c>
      <c r="B168" s="1" t="inlineStr">
        <is>
          <t>Linda Wilson</t>
        </is>
      </c>
      <c r="C168" s="1" t="inlineStr">
        <is>
          <t>Central</t>
        </is>
      </c>
      <c r="D168" s="1" t="inlineStr">
        <is>
          <t>Clothing</t>
        </is>
      </c>
      <c r="E168" s="2" t="n">
        <v>741.88</v>
      </c>
      <c r="F168" s="2" t="n">
        <v>16</v>
      </c>
      <c r="G168" s="2" t="n">
        <v>0.1</v>
      </c>
      <c r="H168" s="3" t="n">
        <v>45695</v>
      </c>
      <c r="I168" s="5" t="n">
        <v>333.85</v>
      </c>
      <c r="J168" s="15">
        <f>NOW()</f>
        <v/>
      </c>
      <c r="K168" s="17">
        <f>DATE(YEAR(H168),MONTH(H168),1)</f>
        <v/>
      </c>
    </row>
    <row r="169" ht="15" customHeight="1" thickBot="1">
      <c r="A169" s="4" t="inlineStr">
        <is>
          <t>CUST004</t>
        </is>
      </c>
      <c r="B169" s="1" t="inlineStr">
        <is>
          <t>James Davis</t>
        </is>
      </c>
      <c r="C169" s="1" t="inlineStr">
        <is>
          <t>East</t>
        </is>
      </c>
      <c r="D169" s="1" t="inlineStr">
        <is>
          <t>Office Supplies</t>
        </is>
      </c>
      <c r="E169" s="2" t="n">
        <v>1311.26</v>
      </c>
      <c r="F169" s="2" t="n">
        <v>6</v>
      </c>
      <c r="G169" s="2" t="n">
        <v>0.1</v>
      </c>
      <c r="H169" s="3" t="n">
        <v>45698</v>
      </c>
      <c r="I169" s="5" t="n">
        <v>531.0599999999999</v>
      </c>
      <c r="J169" s="15">
        <f>NOW()</f>
        <v/>
      </c>
      <c r="K169" s="17">
        <f>DATE(YEAR(H169),MONTH(H169),1)</f>
        <v/>
      </c>
    </row>
    <row r="170" ht="15" customHeight="1" thickBot="1">
      <c r="A170" s="4" t="inlineStr">
        <is>
          <t>CUST004</t>
        </is>
      </c>
      <c r="B170" s="1" t="inlineStr">
        <is>
          <t>Mary Davis</t>
        </is>
      </c>
      <c r="C170" s="1" t="inlineStr">
        <is>
          <t>South</t>
        </is>
      </c>
      <c r="D170" s="1" t="inlineStr">
        <is>
          <t>Office Supplies</t>
        </is>
      </c>
      <c r="E170" s="2" t="n">
        <v>573.3200000000001</v>
      </c>
      <c r="F170" s="2" t="n">
        <v>19</v>
      </c>
      <c r="G170" s="2" t="n">
        <v>0.1</v>
      </c>
      <c r="H170" s="3" t="n">
        <v>45703</v>
      </c>
      <c r="I170" s="5" t="n">
        <v>232.19</v>
      </c>
      <c r="J170" s="15">
        <f>NOW()</f>
        <v/>
      </c>
      <c r="K170" s="17">
        <f>DATE(YEAR(H170),MONTH(H170),1)</f>
        <v/>
      </c>
    </row>
    <row r="171" ht="15" customHeight="1" thickBot="1">
      <c r="A171" s="4" t="inlineStr">
        <is>
          <t>CUST028</t>
        </is>
      </c>
      <c r="B171" s="1" t="inlineStr">
        <is>
          <t>James Wilson</t>
        </is>
      </c>
      <c r="C171" s="1" t="inlineStr">
        <is>
          <t>West</t>
        </is>
      </c>
      <c r="D171" s="1" t="inlineStr">
        <is>
          <t>Electronics</t>
        </is>
      </c>
      <c r="E171" s="2" t="n">
        <v>1115.22</v>
      </c>
      <c r="F171" s="2" t="n">
        <v>14</v>
      </c>
      <c r="G171" s="2" t="n">
        <v>0.2</v>
      </c>
      <c r="H171" s="3" t="n">
        <v>45705</v>
      </c>
      <c r="I171" s="5" t="n">
        <v>223.04</v>
      </c>
      <c r="J171" s="15">
        <f>NOW()</f>
        <v/>
      </c>
      <c r="K171" s="17">
        <f>DATE(YEAR(H171),MONTH(H171),1)</f>
        <v/>
      </c>
    </row>
    <row r="172" ht="15" customHeight="1" thickBot="1">
      <c r="A172" s="4" t="inlineStr">
        <is>
          <t>CUST012</t>
        </is>
      </c>
      <c r="B172" s="1" t="inlineStr">
        <is>
          <t>Lisa Thomas</t>
        </is>
      </c>
      <c r="C172" s="1" t="inlineStr">
        <is>
          <t>North</t>
        </is>
      </c>
      <c r="D172" s="1" t="inlineStr">
        <is>
          <t>Clothing</t>
        </is>
      </c>
      <c r="E172" s="2" t="n">
        <v>845.84</v>
      </c>
      <c r="F172" s="2" t="n">
        <v>4</v>
      </c>
      <c r="G172" s="2" t="n">
        <v>0</v>
      </c>
      <c r="H172" s="3" t="n">
        <v>45707</v>
      </c>
      <c r="I172" s="5" t="n">
        <v>422.92</v>
      </c>
      <c r="J172" s="15">
        <f>NOW()</f>
        <v/>
      </c>
      <c r="K172" s="17">
        <f>DATE(YEAR(H172),MONTH(H172),1)</f>
        <v/>
      </c>
    </row>
    <row r="173" ht="15" customHeight="1" thickBot="1">
      <c r="A173" s="4" t="inlineStr">
        <is>
          <t>CUST026</t>
        </is>
      </c>
      <c r="B173" s="1" t="inlineStr">
        <is>
          <t>David Brown</t>
        </is>
      </c>
      <c r="C173" s="1" t="inlineStr">
        <is>
          <t>West</t>
        </is>
      </c>
      <c r="D173" s="1" t="inlineStr">
        <is>
          <t>Electronics</t>
        </is>
      </c>
      <c r="E173" s="2" t="n">
        <v>1029.8</v>
      </c>
      <c r="F173" s="2" t="n">
        <v>3</v>
      </c>
      <c r="G173" s="2" t="n">
        <v>0</v>
      </c>
      <c r="H173" s="3" t="n">
        <v>45708</v>
      </c>
      <c r="I173" s="5" t="n">
        <v>257.45</v>
      </c>
      <c r="J173" s="15">
        <f>NOW()</f>
        <v/>
      </c>
      <c r="K173" s="17">
        <f>DATE(YEAR(H173),MONTH(H173),1)</f>
        <v/>
      </c>
    </row>
    <row r="174" ht="15" customHeight="1" thickBot="1">
      <c r="A174" s="4" t="inlineStr">
        <is>
          <t>CUST009</t>
        </is>
      </c>
      <c r="B174" s="1" t="inlineStr">
        <is>
          <t>Mary Davis</t>
        </is>
      </c>
      <c r="C174" s="1" t="inlineStr">
        <is>
          <t>North</t>
        </is>
      </c>
      <c r="D174" s="1" t="inlineStr">
        <is>
          <t>Books</t>
        </is>
      </c>
      <c r="E174" s="2" t="n">
        <v>1189.83</v>
      </c>
      <c r="F174" s="2" t="n">
        <v>2</v>
      </c>
      <c r="G174" s="2" t="n">
        <v>0.2</v>
      </c>
      <c r="H174" s="3" t="n">
        <v>45709</v>
      </c>
      <c r="I174" s="5" t="n">
        <v>380.75</v>
      </c>
      <c r="J174" s="15">
        <f>NOW()</f>
        <v/>
      </c>
      <c r="K174" s="17">
        <f>DATE(YEAR(H174),MONTH(H174),1)</f>
        <v/>
      </c>
    </row>
    <row r="175" ht="15" customHeight="1" thickBot="1">
      <c r="A175" s="4" t="inlineStr">
        <is>
          <t>CUST003</t>
        </is>
      </c>
      <c r="B175" s="1" t="inlineStr">
        <is>
          <t>Sarah Anderson</t>
        </is>
      </c>
      <c r="C175" s="1" t="inlineStr">
        <is>
          <t>South</t>
        </is>
      </c>
      <c r="D175" s="1" t="inlineStr">
        <is>
          <t>Books</t>
        </is>
      </c>
      <c r="E175" s="2" t="n">
        <v>704.28</v>
      </c>
      <c r="F175" s="2" t="n">
        <v>15</v>
      </c>
      <c r="G175" s="2" t="n">
        <v>0.2</v>
      </c>
      <c r="H175" s="3" t="n">
        <v>45712</v>
      </c>
      <c r="I175" s="5" t="n">
        <v>225.37</v>
      </c>
      <c r="J175" s="15">
        <f>NOW()</f>
        <v/>
      </c>
      <c r="K175" s="17">
        <f>DATE(YEAR(H175),MONTH(H175),1)</f>
        <v/>
      </c>
    </row>
    <row r="176" ht="15" customHeight="1" thickBot="1">
      <c r="A176" s="4" t="inlineStr">
        <is>
          <t>CUST002</t>
        </is>
      </c>
      <c r="B176" s="1" t="inlineStr">
        <is>
          <t>Mary Jackson</t>
        </is>
      </c>
      <c r="C176" s="1" t="inlineStr">
        <is>
          <t>Central</t>
        </is>
      </c>
      <c r="D176" s="1" t="inlineStr">
        <is>
          <t>Office Supplies</t>
        </is>
      </c>
      <c r="E176" s="2" t="n">
        <v>1618.22</v>
      </c>
      <c r="F176" s="2" t="n">
        <v>12</v>
      </c>
      <c r="G176" s="2" t="n">
        <v>0.2</v>
      </c>
      <c r="H176" s="3" t="n">
        <v>45712</v>
      </c>
      <c r="I176" s="5" t="n">
        <v>582.5599999999999</v>
      </c>
      <c r="J176" s="15">
        <f>NOW()</f>
        <v/>
      </c>
      <c r="K176" s="17">
        <f>DATE(YEAR(H176),MONTH(H176),1)</f>
        <v/>
      </c>
    </row>
    <row r="177" ht="15" customHeight="1" thickBot="1">
      <c r="A177" s="4" t="inlineStr">
        <is>
          <t>CUST013</t>
        </is>
      </c>
      <c r="B177" s="1" t="inlineStr">
        <is>
          <t>Linda Taylor</t>
        </is>
      </c>
      <c r="C177" s="1" t="inlineStr">
        <is>
          <t>Central</t>
        </is>
      </c>
      <c r="D177" s="1" t="inlineStr">
        <is>
          <t>Books</t>
        </is>
      </c>
      <c r="E177" s="2" t="n">
        <v>1014.43</v>
      </c>
      <c r="F177" s="2" t="n">
        <v>2</v>
      </c>
      <c r="G177" s="2" t="n">
        <v>0.15</v>
      </c>
      <c r="H177" s="3" t="n">
        <v>45713</v>
      </c>
      <c r="I177" s="5" t="n">
        <v>344.91</v>
      </c>
      <c r="J177" s="15">
        <f>NOW()</f>
        <v/>
      </c>
      <c r="K177" s="17">
        <f>DATE(YEAR(H177),MONTH(H177),1)</f>
        <v/>
      </c>
    </row>
    <row r="178" ht="15" customHeight="1" thickBot="1">
      <c r="A178" s="4" t="inlineStr">
        <is>
          <t>CUST018</t>
        </is>
      </c>
      <c r="B178" s="1" t="inlineStr">
        <is>
          <t>Mary Davis</t>
        </is>
      </c>
      <c r="C178" s="1" t="inlineStr">
        <is>
          <t>Central</t>
        </is>
      </c>
      <c r="D178" s="1" t="inlineStr">
        <is>
          <t>Clothing</t>
        </is>
      </c>
      <c r="E178" s="2" t="n">
        <v>826.97</v>
      </c>
      <c r="F178" s="2" t="n">
        <v>18</v>
      </c>
      <c r="G178" s="2" t="n">
        <v>0.2</v>
      </c>
      <c r="H178" s="3" t="n">
        <v>45715</v>
      </c>
      <c r="I178" s="5" t="n">
        <v>330.79</v>
      </c>
      <c r="J178" s="15">
        <f>NOW()</f>
        <v/>
      </c>
      <c r="K178" s="17">
        <f>DATE(YEAR(H178),MONTH(H178),1)</f>
        <v/>
      </c>
    </row>
    <row r="179" ht="15" customHeight="1" thickBot="1">
      <c r="A179" s="4" t="inlineStr">
        <is>
          <t>CUST017</t>
        </is>
      </c>
      <c r="B179" s="1" t="inlineStr">
        <is>
          <t>Mary Davis</t>
        </is>
      </c>
      <c r="C179" s="1" t="inlineStr">
        <is>
          <t>Central</t>
        </is>
      </c>
      <c r="D179" s="1" t="inlineStr">
        <is>
          <t>Clothing</t>
        </is>
      </c>
      <c r="E179" s="2" t="n">
        <v>1022.23</v>
      </c>
      <c r="F179" s="2" t="n">
        <v>8</v>
      </c>
      <c r="G179" s="2" t="n">
        <v>0.1</v>
      </c>
      <c r="H179" s="3" t="n">
        <v>45717</v>
      </c>
      <c r="I179" s="5" t="n">
        <v>460</v>
      </c>
      <c r="J179" s="15">
        <f>NOW()</f>
        <v/>
      </c>
      <c r="K179" s="17">
        <f>DATE(YEAR(H179),MONTH(H179),1)</f>
        <v/>
      </c>
    </row>
    <row r="180" ht="15" customHeight="1" thickBot="1">
      <c r="A180" s="4" t="inlineStr">
        <is>
          <t>CUST004</t>
        </is>
      </c>
      <c r="B180" s="1" t="inlineStr">
        <is>
          <t>Linda Wilson</t>
        </is>
      </c>
      <c r="C180" s="1" t="inlineStr">
        <is>
          <t>East</t>
        </is>
      </c>
      <c r="D180" s="1" t="inlineStr">
        <is>
          <t>Books</t>
        </is>
      </c>
      <c r="E180" s="2" t="n">
        <v>1099.69</v>
      </c>
      <c r="F180" s="2" t="n">
        <v>6</v>
      </c>
      <c r="G180" s="2" t="n">
        <v>0</v>
      </c>
      <c r="H180" s="3" t="n">
        <v>45718</v>
      </c>
      <c r="I180" s="5" t="n">
        <v>439.88</v>
      </c>
      <c r="J180" s="15">
        <f>NOW()</f>
        <v/>
      </c>
      <c r="K180" s="17">
        <f>DATE(YEAR(H180),MONTH(H180),1)</f>
        <v/>
      </c>
    </row>
    <row r="181" ht="15" customHeight="1" thickBot="1">
      <c r="A181" s="4" t="inlineStr">
        <is>
          <t>CUST028</t>
        </is>
      </c>
      <c r="B181" s="1" t="inlineStr">
        <is>
          <t>Sarah Davis</t>
        </is>
      </c>
      <c r="C181" s="1" t="inlineStr">
        <is>
          <t>North</t>
        </is>
      </c>
      <c r="D181" s="1" t="inlineStr">
        <is>
          <t>Books</t>
        </is>
      </c>
      <c r="E181" s="2" t="n">
        <v>710.52</v>
      </c>
      <c r="F181" s="2" t="n">
        <v>8</v>
      </c>
      <c r="G181" s="2" t="n">
        <v>0.1</v>
      </c>
      <c r="H181" s="3" t="n">
        <v>45721</v>
      </c>
      <c r="I181" s="5" t="n">
        <v>255.79</v>
      </c>
      <c r="J181" s="15">
        <f>NOW()</f>
        <v/>
      </c>
      <c r="K181" s="17">
        <f>DATE(YEAR(H181),MONTH(H181),1)</f>
        <v/>
      </c>
    </row>
    <row r="182" ht="15" customHeight="1" thickBot="1">
      <c r="A182" s="4" t="inlineStr">
        <is>
          <t>CUST028</t>
        </is>
      </c>
      <c r="B182" s="1" t="inlineStr">
        <is>
          <t>Mary Wilson</t>
        </is>
      </c>
      <c r="C182" s="1" t="inlineStr">
        <is>
          <t>North</t>
        </is>
      </c>
      <c r="D182" s="1" t="inlineStr">
        <is>
          <t>Books</t>
        </is>
      </c>
      <c r="E182" s="2" t="n">
        <v>499.18</v>
      </c>
      <c r="F182" s="2" t="n">
        <v>15</v>
      </c>
      <c r="G182" s="2" t="n">
        <v>0.2</v>
      </c>
      <c r="H182" s="3" t="n">
        <v>45724</v>
      </c>
      <c r="I182" s="5" t="n">
        <v>159.74</v>
      </c>
      <c r="J182" s="15">
        <f>NOW()</f>
        <v/>
      </c>
      <c r="K182" s="17">
        <f>DATE(YEAR(H182),MONTH(H182),1)</f>
        <v/>
      </c>
    </row>
    <row r="183" ht="15" customHeight="1" thickBot="1">
      <c r="A183" s="4" t="inlineStr">
        <is>
          <t>CUST014</t>
        </is>
      </c>
      <c r="B183" s="1" t="inlineStr">
        <is>
          <t>Emma Davis</t>
        </is>
      </c>
      <c r="C183" s="1" t="inlineStr">
        <is>
          <t>South</t>
        </is>
      </c>
      <c r="D183" s="1" t="inlineStr">
        <is>
          <t>Books</t>
        </is>
      </c>
      <c r="E183" s="2" t="n">
        <v>1064.19</v>
      </c>
      <c r="F183" s="2" t="n">
        <v>18</v>
      </c>
      <c r="G183" s="2" t="n">
        <v>0.05</v>
      </c>
      <c r="H183" s="3" t="n">
        <v>45725</v>
      </c>
      <c r="I183" s="5" t="n">
        <v>404.39</v>
      </c>
      <c r="J183" s="15">
        <f>NOW()</f>
        <v/>
      </c>
      <c r="K183" s="17">
        <f>DATE(YEAR(H183),MONTH(H183),1)</f>
        <v/>
      </c>
    </row>
    <row r="184" ht="15" customHeight="1" thickBot="1">
      <c r="A184" s="4" t="inlineStr">
        <is>
          <t>CUST003</t>
        </is>
      </c>
      <c r="B184" s="1" t="inlineStr">
        <is>
          <t>Emma Davis</t>
        </is>
      </c>
      <c r="C184" s="1" t="inlineStr">
        <is>
          <t>East</t>
        </is>
      </c>
      <c r="D184" s="1" t="inlineStr">
        <is>
          <t>Office Supplies</t>
        </is>
      </c>
      <c r="E184" s="2" t="n">
        <v>438.76</v>
      </c>
      <c r="F184" s="2" t="n">
        <v>18</v>
      </c>
      <c r="G184" s="2" t="n">
        <v>0.05</v>
      </c>
      <c r="H184" s="3" t="n">
        <v>45726</v>
      </c>
      <c r="I184" s="5" t="n">
        <v>187.57</v>
      </c>
      <c r="J184" s="15">
        <f>NOW()</f>
        <v/>
      </c>
      <c r="K184" s="17">
        <f>DATE(YEAR(H184),MONTH(H184),1)</f>
        <v/>
      </c>
    </row>
    <row r="185" ht="15" customHeight="1" thickBot="1">
      <c r="A185" s="4" t="inlineStr">
        <is>
          <t>CUST029</t>
        </is>
      </c>
      <c r="B185" s="1" t="inlineStr">
        <is>
          <t>David Brown</t>
        </is>
      </c>
      <c r="C185" s="1" t="inlineStr">
        <is>
          <t>West</t>
        </is>
      </c>
      <c r="D185" s="1" t="inlineStr">
        <is>
          <t>Clothing</t>
        </is>
      </c>
      <c r="E185" s="2" t="n">
        <v>864.98</v>
      </c>
      <c r="F185" s="2" t="n">
        <v>2</v>
      </c>
      <c r="G185" s="2" t="n">
        <v>0.05</v>
      </c>
      <c r="H185" s="3" t="n">
        <v>45727</v>
      </c>
      <c r="I185" s="5" t="n">
        <v>410.87</v>
      </c>
      <c r="J185" s="15">
        <f>NOW()</f>
        <v/>
      </c>
      <c r="K185" s="17">
        <f>DATE(YEAR(H185),MONTH(H185),1)</f>
        <v/>
      </c>
    </row>
    <row r="186" ht="15" customHeight="1" thickBot="1">
      <c r="A186" s="4" t="inlineStr">
        <is>
          <t>CUST021</t>
        </is>
      </c>
      <c r="B186" s="1" t="inlineStr">
        <is>
          <t>David Brown</t>
        </is>
      </c>
      <c r="C186" s="1" t="inlineStr">
        <is>
          <t>West</t>
        </is>
      </c>
      <c r="D186" s="1" t="inlineStr">
        <is>
          <t>Furniture</t>
        </is>
      </c>
      <c r="E186" s="2" t="n">
        <v>984.9299999999999</v>
      </c>
      <c r="F186" s="2" t="n">
        <v>14</v>
      </c>
      <c r="G186" s="2" t="n">
        <v>0.2</v>
      </c>
      <c r="H186" s="3" t="n">
        <v>45733</v>
      </c>
      <c r="I186" s="5" t="n">
        <v>275.78</v>
      </c>
      <c r="J186" s="15">
        <f>NOW()</f>
        <v/>
      </c>
      <c r="K186" s="17">
        <f>DATE(YEAR(H186),MONTH(H186),1)</f>
        <v/>
      </c>
    </row>
    <row r="187" ht="15" customHeight="1" thickBot="1">
      <c r="A187" s="4" t="inlineStr">
        <is>
          <t>CUST007</t>
        </is>
      </c>
      <c r="B187" s="1" t="inlineStr">
        <is>
          <t>David Brown</t>
        </is>
      </c>
      <c r="C187" s="1" t="inlineStr">
        <is>
          <t>West</t>
        </is>
      </c>
      <c r="D187" s="1" t="inlineStr">
        <is>
          <t>Clothing</t>
        </is>
      </c>
      <c r="E187" s="2" t="n">
        <v>1493.49</v>
      </c>
      <c r="F187" s="2" t="n">
        <v>18</v>
      </c>
      <c r="G187" s="2" t="n">
        <v>0</v>
      </c>
      <c r="H187" s="3" t="n">
        <v>45734</v>
      </c>
      <c r="I187" s="5" t="n">
        <v>746.74</v>
      </c>
      <c r="J187" s="15">
        <f>NOW()</f>
        <v/>
      </c>
      <c r="K187" s="17">
        <f>DATE(YEAR(H187),MONTH(H187),1)</f>
        <v/>
      </c>
    </row>
    <row r="188" ht="15" customHeight="1" thickBot="1">
      <c r="A188" s="4" t="inlineStr">
        <is>
          <t>CUST009</t>
        </is>
      </c>
      <c r="B188" s="1" t="inlineStr">
        <is>
          <t>Linda Taylor</t>
        </is>
      </c>
      <c r="C188" s="1" t="inlineStr">
        <is>
          <t>South</t>
        </is>
      </c>
      <c r="D188" s="1" t="inlineStr">
        <is>
          <t>Clothing</t>
        </is>
      </c>
      <c r="E188" s="2" t="n">
        <v>689.4299999999999</v>
      </c>
      <c r="F188" s="2" t="n">
        <v>9</v>
      </c>
      <c r="G188" s="2" t="n">
        <v>0.1</v>
      </c>
      <c r="H188" s="3" t="n">
        <v>45736</v>
      </c>
      <c r="I188" s="5" t="n">
        <v>310.24</v>
      </c>
      <c r="J188" s="15">
        <f>NOW()</f>
        <v/>
      </c>
      <c r="K188" s="17">
        <f>DATE(YEAR(H188),MONTH(H188),1)</f>
        <v/>
      </c>
    </row>
    <row r="189" ht="15" customHeight="1" thickBot="1">
      <c r="A189" s="4" t="inlineStr">
        <is>
          <t>CUST023</t>
        </is>
      </c>
      <c r="B189" s="1" t="inlineStr">
        <is>
          <t>Mary Wilson</t>
        </is>
      </c>
      <c r="C189" s="1" t="inlineStr">
        <is>
          <t>South</t>
        </is>
      </c>
      <c r="D189" s="1" t="inlineStr">
        <is>
          <t>Clothing</t>
        </is>
      </c>
      <c r="E189" s="2" t="n">
        <v>682.24</v>
      </c>
      <c r="F189" s="2" t="n">
        <v>1</v>
      </c>
      <c r="G189" s="2" t="n">
        <v>0</v>
      </c>
      <c r="H189" s="3" t="n">
        <v>45738</v>
      </c>
      <c r="I189" s="5" t="n">
        <v>341.12</v>
      </c>
      <c r="J189" s="15">
        <f>NOW()</f>
        <v/>
      </c>
      <c r="K189" s="17">
        <f>DATE(YEAR(H189),MONTH(H189),1)</f>
        <v/>
      </c>
    </row>
    <row r="190" ht="15" customHeight="1" thickBot="1">
      <c r="A190" s="4" t="inlineStr">
        <is>
          <t>CUST029</t>
        </is>
      </c>
      <c r="B190" s="1" t="inlineStr">
        <is>
          <t>Michael Anderson</t>
        </is>
      </c>
      <c r="C190" s="1" t="inlineStr">
        <is>
          <t>North</t>
        </is>
      </c>
      <c r="D190" s="1" t="inlineStr">
        <is>
          <t>Electronics</t>
        </is>
      </c>
      <c r="E190" s="2" t="n">
        <v>458.54</v>
      </c>
      <c r="F190" s="2" t="n">
        <v>15</v>
      </c>
      <c r="G190" s="2" t="n">
        <v>0.2</v>
      </c>
      <c r="H190" s="3" t="n">
        <v>45741</v>
      </c>
      <c r="I190" s="5" t="n">
        <v>91.70999999999999</v>
      </c>
      <c r="J190" s="15">
        <f>NOW()</f>
        <v/>
      </c>
      <c r="K190" s="17">
        <f>DATE(YEAR(H190),MONTH(H190),1)</f>
        <v/>
      </c>
    </row>
    <row r="191" ht="15" customHeight="1" thickBot="1">
      <c r="A191" s="4" t="inlineStr">
        <is>
          <t>CUST009</t>
        </is>
      </c>
      <c r="B191" s="1" t="inlineStr">
        <is>
          <t>Michael Anderson</t>
        </is>
      </c>
      <c r="C191" s="1" t="inlineStr">
        <is>
          <t>South</t>
        </is>
      </c>
      <c r="D191" s="1" t="inlineStr">
        <is>
          <t>Furniture</t>
        </is>
      </c>
      <c r="E191" s="2" t="n">
        <v>1184.25</v>
      </c>
      <c r="F191" s="2" t="n">
        <v>11</v>
      </c>
      <c r="G191" s="2" t="n">
        <v>0.2</v>
      </c>
      <c r="H191" s="3" t="n">
        <v>45742</v>
      </c>
      <c r="I191" s="5" t="n">
        <v>331.59</v>
      </c>
      <c r="J191" s="15">
        <f>NOW()</f>
        <v/>
      </c>
      <c r="K191" s="17">
        <f>DATE(YEAR(H191),MONTH(H191),1)</f>
        <v/>
      </c>
    </row>
    <row r="192" ht="15" customHeight="1" thickBot="1">
      <c r="A192" s="4" t="inlineStr">
        <is>
          <t>CUST007</t>
        </is>
      </c>
      <c r="B192" s="1" t="inlineStr">
        <is>
          <t>James Davis</t>
        </is>
      </c>
      <c r="C192" s="1" t="inlineStr">
        <is>
          <t>South</t>
        </is>
      </c>
      <c r="D192" s="1" t="inlineStr">
        <is>
          <t>Clothing</t>
        </is>
      </c>
      <c r="E192" s="2" t="n">
        <v>762.14</v>
      </c>
      <c r="F192" s="2" t="n">
        <v>9</v>
      </c>
      <c r="G192" s="2" t="n">
        <v>0</v>
      </c>
      <c r="H192" s="3" t="n">
        <v>45743</v>
      </c>
      <c r="I192" s="5" t="n">
        <v>381.07</v>
      </c>
      <c r="J192" s="15">
        <f>NOW()</f>
        <v/>
      </c>
      <c r="K192" s="17">
        <f>DATE(YEAR(H192),MONTH(H192),1)</f>
        <v/>
      </c>
    </row>
    <row r="193" ht="15" customHeight="1" thickBot="1">
      <c r="A193" s="4" t="inlineStr">
        <is>
          <t>CUST030</t>
        </is>
      </c>
      <c r="B193" s="1" t="inlineStr">
        <is>
          <t>Linda Taylor</t>
        </is>
      </c>
      <c r="C193" s="1" t="inlineStr">
        <is>
          <t>North</t>
        </is>
      </c>
      <c r="D193" s="1" t="inlineStr">
        <is>
          <t>Books</t>
        </is>
      </c>
      <c r="E193" s="2" t="n">
        <v>750.71</v>
      </c>
      <c r="F193" s="2" t="n">
        <v>10</v>
      </c>
      <c r="G193" s="2" t="n">
        <v>0.15</v>
      </c>
      <c r="H193" s="3" t="n">
        <v>45743</v>
      </c>
      <c r="I193" s="5" t="n">
        <v>255.24</v>
      </c>
      <c r="J193" s="15">
        <f>NOW()</f>
        <v/>
      </c>
      <c r="K193" s="17">
        <f>DATE(YEAR(H193),MONTH(H193),1)</f>
        <v/>
      </c>
    </row>
    <row r="194" ht="15" customHeight="1" thickBot="1">
      <c r="A194" s="4" t="inlineStr">
        <is>
          <t>CUST018</t>
        </is>
      </c>
      <c r="B194" s="1" t="inlineStr">
        <is>
          <t>David Anderson</t>
        </is>
      </c>
      <c r="C194" s="1" t="inlineStr">
        <is>
          <t>Central</t>
        </is>
      </c>
      <c r="D194" s="1" t="inlineStr">
        <is>
          <t>Clothing</t>
        </is>
      </c>
      <c r="E194" s="2" t="n">
        <v>1456.94</v>
      </c>
      <c r="F194" s="2" t="n">
        <v>14</v>
      </c>
      <c r="G194" s="2" t="n">
        <v>0.05</v>
      </c>
      <c r="H194" s="3" t="n">
        <v>45745</v>
      </c>
      <c r="I194" s="5" t="n">
        <v>692.05</v>
      </c>
      <c r="J194" s="15">
        <f>NOW()</f>
        <v/>
      </c>
      <c r="K194" s="17">
        <f>DATE(YEAR(H194),MONTH(H194),1)</f>
        <v/>
      </c>
    </row>
    <row r="195" ht="15" customHeight="1" thickBot="1">
      <c r="A195" s="4" t="inlineStr">
        <is>
          <t>CUST008</t>
        </is>
      </c>
      <c r="B195" s="1" t="inlineStr">
        <is>
          <t>Emma Wilson</t>
        </is>
      </c>
      <c r="C195" s="1" t="inlineStr">
        <is>
          <t>East</t>
        </is>
      </c>
      <c r="D195" s="1" t="inlineStr">
        <is>
          <t>Furniture</t>
        </is>
      </c>
      <c r="E195" s="2" t="n">
        <v>1093.38</v>
      </c>
      <c r="F195" s="2" t="n">
        <v>17</v>
      </c>
      <c r="G195" s="2" t="n">
        <v>0.1</v>
      </c>
      <c r="H195" s="3" t="n">
        <v>45745</v>
      </c>
      <c r="I195" s="5" t="n">
        <v>344.41</v>
      </c>
      <c r="J195" s="15">
        <f>NOW()</f>
        <v/>
      </c>
      <c r="K195" s="17">
        <f>DATE(YEAR(H195),MONTH(H195),1)</f>
        <v/>
      </c>
    </row>
    <row r="196" ht="15" customHeight="1" thickBot="1">
      <c r="A196" s="4" t="inlineStr">
        <is>
          <t>CUST014</t>
        </is>
      </c>
      <c r="B196" s="1" t="inlineStr">
        <is>
          <t>Sarah Anderson</t>
        </is>
      </c>
      <c r="C196" s="1" t="inlineStr">
        <is>
          <t>West</t>
        </is>
      </c>
      <c r="D196" s="1" t="inlineStr">
        <is>
          <t>Clothing</t>
        </is>
      </c>
      <c r="E196" s="2" t="n">
        <v>934.27</v>
      </c>
      <c r="F196" s="2" t="n">
        <v>8</v>
      </c>
      <c r="G196" s="2" t="n">
        <v>0.15</v>
      </c>
      <c r="H196" s="3" t="n">
        <v>45746</v>
      </c>
      <c r="I196" s="5" t="n">
        <v>397.06</v>
      </c>
      <c r="J196" s="15">
        <f>NOW()</f>
        <v/>
      </c>
      <c r="K196" s="17">
        <f>DATE(YEAR(H196),MONTH(H196),1)</f>
        <v/>
      </c>
    </row>
    <row r="197" ht="15" customHeight="1" thickBot="1">
      <c r="A197" s="4" t="inlineStr">
        <is>
          <t>CUST024</t>
        </is>
      </c>
      <c r="B197" s="1" t="inlineStr">
        <is>
          <t>David Thomas</t>
        </is>
      </c>
      <c r="C197" s="1" t="inlineStr">
        <is>
          <t>Central</t>
        </is>
      </c>
      <c r="D197" s="1" t="inlineStr">
        <is>
          <t>Clothing</t>
        </is>
      </c>
      <c r="E197" s="2" t="n">
        <v>1465.35</v>
      </c>
      <c r="F197" s="2" t="n">
        <v>8</v>
      </c>
      <c r="G197" s="2" t="n">
        <v>0.2</v>
      </c>
      <c r="H197" s="3" t="n">
        <v>45746</v>
      </c>
      <c r="I197" s="5" t="n">
        <v>586.14</v>
      </c>
      <c r="J197" s="15">
        <f>NOW()</f>
        <v/>
      </c>
      <c r="K197" s="17">
        <f>DATE(YEAR(H197),MONTH(H197),1)</f>
        <v/>
      </c>
    </row>
    <row r="198" ht="15" customHeight="1" thickBot="1">
      <c r="A198" s="4" t="inlineStr">
        <is>
          <t>CUST028</t>
        </is>
      </c>
      <c r="B198" s="1" t="inlineStr">
        <is>
          <t>Robert Anderson</t>
        </is>
      </c>
      <c r="C198" s="1" t="inlineStr">
        <is>
          <t>South</t>
        </is>
      </c>
      <c r="D198" s="1" t="inlineStr">
        <is>
          <t>Office Supplies</t>
        </is>
      </c>
      <c r="E198" s="2" t="n">
        <v>740.8</v>
      </c>
      <c r="F198" s="2" t="n">
        <v>3</v>
      </c>
      <c r="G198" s="2" t="n">
        <v>0</v>
      </c>
      <c r="H198" s="3" t="n">
        <v>45749</v>
      </c>
      <c r="I198" s="5" t="n">
        <v>333.36</v>
      </c>
      <c r="J198" s="15">
        <f>NOW()</f>
        <v/>
      </c>
      <c r="K198" s="17">
        <f>DATE(YEAR(H198),MONTH(H198),1)</f>
        <v/>
      </c>
    </row>
    <row r="199" ht="15" customHeight="1" thickBot="1">
      <c r="A199" s="4" t="inlineStr">
        <is>
          <t>CUST015</t>
        </is>
      </c>
      <c r="B199" s="1" t="inlineStr">
        <is>
          <t>Sarah Anderson</t>
        </is>
      </c>
      <c r="C199" s="1" t="inlineStr">
        <is>
          <t>West</t>
        </is>
      </c>
      <c r="D199" s="1" t="inlineStr">
        <is>
          <t>Office Supplies</t>
        </is>
      </c>
      <c r="E199" s="2" t="n">
        <v>545.4400000000001</v>
      </c>
      <c r="F199" s="2" t="n">
        <v>17</v>
      </c>
      <c r="G199" s="2" t="n">
        <v>0</v>
      </c>
      <c r="H199" s="3" t="n">
        <v>45752</v>
      </c>
      <c r="I199" s="5" t="n">
        <v>245.45</v>
      </c>
      <c r="J199" s="15">
        <f>NOW()</f>
        <v/>
      </c>
      <c r="K199" s="17">
        <f>DATE(YEAR(H199),MONTH(H199),1)</f>
        <v/>
      </c>
    </row>
    <row r="200" ht="15" customHeight="1" thickBot="1">
      <c r="A200" s="4" t="inlineStr">
        <is>
          <t>CUST010</t>
        </is>
      </c>
      <c r="B200" s="1" t="inlineStr">
        <is>
          <t>David Thomas</t>
        </is>
      </c>
      <c r="C200" s="1" t="inlineStr">
        <is>
          <t>East</t>
        </is>
      </c>
      <c r="D200" s="1" t="inlineStr">
        <is>
          <t>Books</t>
        </is>
      </c>
      <c r="E200" s="2" t="n">
        <v>997.61</v>
      </c>
      <c r="F200" s="2" t="n">
        <v>8</v>
      </c>
      <c r="G200" s="2" t="n">
        <v>0.05</v>
      </c>
      <c r="H200" s="3" t="n">
        <v>45752</v>
      </c>
      <c r="I200" s="5" t="n">
        <v>379.09</v>
      </c>
      <c r="J200" s="15">
        <f>NOW()</f>
        <v/>
      </c>
      <c r="K200" s="17">
        <f>DATE(YEAR(H200),MONTH(H200),1)</f>
        <v/>
      </c>
    </row>
    <row r="201">
      <c r="A201" s="9" t="inlineStr">
        <is>
          <t>CUST016</t>
        </is>
      </c>
      <c r="B201" s="10" t="inlineStr">
        <is>
          <t>David Thomas</t>
        </is>
      </c>
      <c r="C201" s="10" t="inlineStr">
        <is>
          <t>South</t>
        </is>
      </c>
      <c r="D201" s="10" t="inlineStr">
        <is>
          <t>Clothing</t>
        </is>
      </c>
      <c r="E201" s="11" t="n">
        <v>928.3200000000001</v>
      </c>
      <c r="F201" s="11" t="n">
        <v>2</v>
      </c>
      <c r="G201" s="11" t="n">
        <v>0.05</v>
      </c>
      <c r="H201" s="12" t="n">
        <v>45754</v>
      </c>
      <c r="I201" s="13" t="n">
        <v>440.95</v>
      </c>
      <c r="J201" s="16">
        <f>NOW()</f>
        <v/>
      </c>
      <c r="K201" s="17">
        <f>DATE(YEAR(H201),MONTH(H201),1)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I31" sqref="I31"/>
    </sheetView>
  </sheetViews>
  <sheetFormatPr baseColWidth="8" defaultRowHeight="14.4"/>
  <cols>
    <col width="11.77734375" bestFit="1" customWidth="1" min="1" max="1"/>
    <col width="16" bestFit="1" customWidth="1" min="2" max="2"/>
    <col width="19.109375" bestFit="1" customWidth="1" min="3" max="3"/>
  </cols>
  <sheetData>
    <row r="1">
      <c r="A1" s="35">
        <f t="array" ref="A1:A31">_xlfn.UNIQUE(Data[[#All],[Customer_ID]])</f>
        <v/>
      </c>
      <c r="B1" s="35">
        <f t="array" ref="B1:B28">_xlfn.UNIQUE(Data[[#All],[Customer_Name]])</f>
        <v/>
      </c>
      <c r="C1" s="35" t="inlineStr">
        <is>
          <t>Total Purchase (Sales)</t>
        </is>
      </c>
      <c r="D1" s="35" t="inlineStr">
        <is>
          <t>Total Profit</t>
        </is>
      </c>
      <c r="E1" s="35" t="inlineStr">
        <is>
          <t>Order Count</t>
        </is>
      </c>
      <c r="F1" s="35" t="inlineStr">
        <is>
          <t>Rank</t>
        </is>
      </c>
      <c r="G1" s="35" t="inlineStr">
        <is>
          <t>TOP 10?</t>
        </is>
      </c>
    </row>
    <row r="2">
      <c r="A2" s="49" t="inlineStr">
        <is>
          <t>CUST019</t>
        </is>
      </c>
      <c r="B2" s="49" t="inlineStr">
        <is>
          <t>James Davis</t>
        </is>
      </c>
      <c r="C2" s="49">
        <f>SUMIF(data!$B$2:$B$201, B2,data!$E$2:$E$201)</f>
        <v/>
      </c>
      <c r="D2" s="49">
        <f>SUMIF(data!$B$2:$B$201,B2,data!$I$2:$I$201)</f>
        <v/>
      </c>
      <c r="E2" s="49">
        <f>COUNTIF(data!$B$2:$B$201,B2)</f>
        <v/>
      </c>
      <c r="F2" s="49">
        <f>RANK(C2,$C$2:$C$28)</f>
        <v/>
      </c>
      <c r="G2" s="49">
        <f>IF(F2&lt;=10,"Yes","No")</f>
        <v/>
      </c>
    </row>
    <row r="3">
      <c r="A3" s="49" t="inlineStr">
        <is>
          <t>CUST012</t>
        </is>
      </c>
      <c r="B3" s="49" t="inlineStr">
        <is>
          <t>Robert Anderson</t>
        </is>
      </c>
      <c r="C3" s="49">
        <f>SUMIF(data!$B$2:$B$201, B3,data!$E$2:$E$201)</f>
        <v/>
      </c>
      <c r="D3" s="49">
        <f>SUMIF(data!$B$2:$B$201,B3,data!$I$2:$I$201)</f>
        <v/>
      </c>
      <c r="E3" s="49">
        <f>COUNTIF(data!$B$2:$B$201,B3)</f>
        <v/>
      </c>
      <c r="F3" s="49">
        <f>RANK(C3,$C$2:$C$28)</f>
        <v/>
      </c>
      <c r="G3" s="49">
        <f>IF(F3&lt;=10,"Yes","No")</f>
        <v/>
      </c>
    </row>
    <row r="4">
      <c r="A4" s="49" t="inlineStr">
        <is>
          <t>CUST017</t>
        </is>
      </c>
      <c r="B4" s="49" t="inlineStr">
        <is>
          <t>James Taylor</t>
        </is>
      </c>
      <c r="C4" s="49">
        <f>SUMIF(data!$B$2:$B$201, B4,data!$E$2:$E$201)</f>
        <v/>
      </c>
      <c r="D4" s="49">
        <f>SUMIF(data!$B$2:$B$201,B4,data!$I$2:$I$201)</f>
        <v/>
      </c>
      <c r="E4" s="49">
        <f>COUNTIF(data!$B$2:$B$201,B4)</f>
        <v/>
      </c>
      <c r="F4" s="49">
        <f>RANK(C4,$C$2:$C$28)</f>
        <v/>
      </c>
      <c r="G4" s="49">
        <f>IF(F4&lt;=10,"Yes","No")</f>
        <v/>
      </c>
    </row>
    <row r="5">
      <c r="A5" s="49" t="inlineStr">
        <is>
          <t>CUST005</t>
        </is>
      </c>
      <c r="B5" s="49" t="inlineStr">
        <is>
          <t>James Wilson</t>
        </is>
      </c>
      <c r="C5" s="49">
        <f>SUMIF(data!$B$2:$B$201, B5,data!$E$2:$E$201)</f>
        <v/>
      </c>
      <c r="D5" s="49">
        <f>SUMIF(data!$B$2:$B$201,B5,data!$I$2:$I$201)</f>
        <v/>
      </c>
      <c r="E5" s="49">
        <f>COUNTIF(data!$B$2:$B$201,B5)</f>
        <v/>
      </c>
      <c r="F5" s="49">
        <f>RANK(C5,$C$2:$C$28)</f>
        <v/>
      </c>
      <c r="G5" s="49">
        <f>IF(F5&lt;=10,"Yes","No")</f>
        <v/>
      </c>
    </row>
    <row r="6">
      <c r="A6" s="49" t="inlineStr">
        <is>
          <t>CUST030</t>
        </is>
      </c>
      <c r="B6" s="49" t="inlineStr">
        <is>
          <t>Michael Anderson</t>
        </is>
      </c>
      <c r="C6" s="49">
        <f>SUMIF(data!$B$2:$B$201, B6,data!$E$2:$E$201)</f>
        <v/>
      </c>
      <c r="D6" s="49">
        <f>SUMIF(data!$B$2:$B$201,B6,data!$I$2:$I$201)</f>
        <v/>
      </c>
      <c r="E6" s="49">
        <f>COUNTIF(data!$B$2:$B$201,B6)</f>
        <v/>
      </c>
      <c r="F6" s="49">
        <f>RANK(C6,$C$2:$C$28)</f>
        <v/>
      </c>
      <c r="G6" s="49">
        <f>IF(F6&lt;=10,"Yes","No")</f>
        <v/>
      </c>
    </row>
    <row r="7">
      <c r="A7" s="49" t="inlineStr">
        <is>
          <t>CUST007</t>
        </is>
      </c>
      <c r="B7" s="49" t="inlineStr">
        <is>
          <t>Linda Wilson</t>
        </is>
      </c>
      <c r="C7" s="49">
        <f>SUMIF(data!$B$2:$B$201, B7,data!$E$2:$E$201)</f>
        <v/>
      </c>
      <c r="D7" s="49">
        <f>SUMIF(data!$B$2:$B$201,B7,data!$I$2:$I$201)</f>
        <v/>
      </c>
      <c r="E7" s="49">
        <f>COUNTIF(data!$B$2:$B$201,B7)</f>
        <v/>
      </c>
      <c r="F7" s="49">
        <f>RANK(C7,$C$2:$C$28)</f>
        <v/>
      </c>
      <c r="G7" s="49">
        <f>IF(F7&lt;=10,"Yes","No")</f>
        <v/>
      </c>
    </row>
    <row r="8">
      <c r="A8" s="49" t="inlineStr">
        <is>
          <t>CUST001</t>
        </is>
      </c>
      <c r="B8" s="49" t="inlineStr">
        <is>
          <t>Mary Davis</t>
        </is>
      </c>
      <c r="C8" s="49">
        <f>SUMIF(data!$B$2:$B$201, B8,data!$E$2:$E$201)</f>
        <v/>
      </c>
      <c r="D8" s="49">
        <f>SUMIF(data!$B$2:$B$201,B8,data!$I$2:$I$201)</f>
        <v/>
      </c>
      <c r="E8" s="49">
        <f>COUNTIF(data!$B$2:$B$201,B8)</f>
        <v/>
      </c>
      <c r="F8" s="49">
        <f>RANK(C8,$C$2:$C$28)</f>
        <v/>
      </c>
      <c r="G8" s="49">
        <f>IF(F8&lt;=10,"Yes","No")</f>
        <v/>
      </c>
    </row>
    <row r="9">
      <c r="A9" s="49" t="inlineStr">
        <is>
          <t>CUST026</t>
        </is>
      </c>
      <c r="B9" s="49" t="inlineStr">
        <is>
          <t>Linda Jackson</t>
        </is>
      </c>
      <c r="C9" s="49">
        <f>SUMIF(data!$B$2:$B$201, B9,data!$E$2:$E$201)</f>
        <v/>
      </c>
      <c r="D9" s="49">
        <f>SUMIF(data!$B$2:$B$201,B9,data!$I$2:$I$201)</f>
        <v/>
      </c>
      <c r="E9" s="49">
        <f>COUNTIF(data!$B$2:$B$201,B9)</f>
        <v/>
      </c>
      <c r="F9" s="49">
        <f>RANK(C9,$C$2:$C$28)</f>
        <v/>
      </c>
      <c r="G9" s="49">
        <f>IF(F9&lt;=10,"Yes","No")</f>
        <v/>
      </c>
    </row>
    <row r="10">
      <c r="A10" s="49" t="inlineStr">
        <is>
          <t>CUST009</t>
        </is>
      </c>
      <c r="B10" s="49" t="inlineStr">
        <is>
          <t>David Thomas</t>
        </is>
      </c>
      <c r="C10" s="49">
        <f>SUMIF(data!$B$2:$B$201, B10,data!$E$2:$E$201)</f>
        <v/>
      </c>
      <c r="D10" s="49">
        <f>SUMIF(data!$B$2:$B$201,B10,data!$I$2:$I$201)</f>
        <v/>
      </c>
      <c r="E10" s="49">
        <f>COUNTIF(data!$B$2:$B$201,B10)</f>
        <v/>
      </c>
      <c r="F10" s="49">
        <f>RANK(C10,$C$2:$C$28)</f>
        <v/>
      </c>
      <c r="G10" s="49">
        <f>IF(F10&lt;=10,"Yes","No")</f>
        <v/>
      </c>
    </row>
    <row r="11">
      <c r="A11" s="49" t="inlineStr">
        <is>
          <t>CUST010</t>
        </is>
      </c>
      <c r="B11" s="49" t="inlineStr">
        <is>
          <t>Emma Davis</t>
        </is>
      </c>
      <c r="C11" s="49">
        <f>SUMIF(data!$B$2:$B$201, B11,data!$E$2:$E$201)</f>
        <v/>
      </c>
      <c r="D11" s="49">
        <f>SUMIF(data!$B$2:$B$201,B11,data!$I$2:$I$201)</f>
        <v/>
      </c>
      <c r="E11" s="49">
        <f>COUNTIF(data!$B$2:$B$201,B11)</f>
        <v/>
      </c>
      <c r="F11" s="49">
        <f>RANK(C11,$C$2:$C$28)</f>
        <v/>
      </c>
      <c r="G11" s="49">
        <f>IF(F11&lt;=10,"Yes","No")</f>
        <v/>
      </c>
    </row>
    <row r="12">
      <c r="A12" s="49" t="inlineStr">
        <is>
          <t>CUST014</t>
        </is>
      </c>
      <c r="B12" s="49" t="inlineStr">
        <is>
          <t>David Smith</t>
        </is>
      </c>
      <c r="C12" s="49">
        <f>SUMIF(data!$B$2:$B$201, B12,data!$E$2:$E$201)</f>
        <v/>
      </c>
      <c r="D12" s="49">
        <f>SUMIF(data!$B$2:$B$201,B12,data!$I$2:$I$201)</f>
        <v/>
      </c>
      <c r="E12" s="49">
        <f>COUNTIF(data!$B$2:$B$201,B12)</f>
        <v/>
      </c>
      <c r="F12" s="49">
        <f>RANK(C12,$C$2:$C$28)</f>
        <v/>
      </c>
      <c r="G12" s="49">
        <f>IF(F12&lt;=10,"Yes","No")</f>
        <v/>
      </c>
    </row>
    <row r="13">
      <c r="A13" s="49" t="inlineStr">
        <is>
          <t>CUST023</t>
        </is>
      </c>
      <c r="B13" s="49" t="inlineStr">
        <is>
          <t>Sarah Anderson</t>
        </is>
      </c>
      <c r="C13" s="49">
        <f>SUMIF(data!$B$2:$B$201, B13,data!$E$2:$E$201)</f>
        <v/>
      </c>
      <c r="D13" s="49">
        <f>SUMIF(data!$B$2:$B$201,B13,data!$I$2:$I$201)</f>
        <v/>
      </c>
      <c r="E13" s="49">
        <f>COUNTIF(data!$B$2:$B$201,B13)</f>
        <v/>
      </c>
      <c r="F13" s="49">
        <f>RANK(C13,$C$2:$C$28)</f>
        <v/>
      </c>
      <c r="G13" s="49">
        <f>IF(F13&lt;=10,"Yes","No")</f>
        <v/>
      </c>
    </row>
    <row r="14">
      <c r="A14" s="49" t="inlineStr">
        <is>
          <t>CUST029</t>
        </is>
      </c>
      <c r="B14" s="49" t="inlineStr">
        <is>
          <t>Lisa Thomas</t>
        </is>
      </c>
      <c r="C14" s="49">
        <f>SUMIF(data!$B$2:$B$201, B14,data!$E$2:$E$201)</f>
        <v/>
      </c>
      <c r="D14" s="49">
        <f>SUMIF(data!$B$2:$B$201,B14,data!$I$2:$I$201)</f>
        <v/>
      </c>
      <c r="E14" s="49">
        <f>COUNTIF(data!$B$2:$B$201,B14)</f>
        <v/>
      </c>
      <c r="F14" s="49">
        <f>RANK(C14,$C$2:$C$28)</f>
        <v/>
      </c>
      <c r="G14" s="49">
        <f>IF(F14&lt;=10,"Yes","No")</f>
        <v/>
      </c>
    </row>
    <row r="15">
      <c r="A15" s="49" t="inlineStr">
        <is>
          <t>CUST008</t>
        </is>
      </c>
      <c r="B15" s="49" t="inlineStr">
        <is>
          <t>Mary Jackson</t>
        </is>
      </c>
      <c r="C15" s="49">
        <f>SUMIF(data!$B$2:$B$201, B15,data!$E$2:$E$201)</f>
        <v/>
      </c>
      <c r="D15" s="49">
        <f>SUMIF(data!$B$2:$B$201,B15,data!$I$2:$I$201)</f>
        <v/>
      </c>
      <c r="E15" s="49">
        <f>COUNTIF(data!$B$2:$B$201,B15)</f>
        <v/>
      </c>
      <c r="F15" s="49">
        <f>RANK(C15,$C$2:$C$28)</f>
        <v/>
      </c>
      <c r="G15" s="49">
        <f>IF(F15&lt;=10,"Yes","No")</f>
        <v/>
      </c>
    </row>
    <row r="16">
      <c r="A16" s="49" t="inlineStr">
        <is>
          <t>CUST006</t>
        </is>
      </c>
      <c r="B16" s="49" t="inlineStr">
        <is>
          <t>Lisa Davis</t>
        </is>
      </c>
      <c r="C16" s="49">
        <f>SUMIF(data!$B$2:$B$201, B16,data!$E$2:$E$201)</f>
        <v/>
      </c>
      <c r="D16" s="49">
        <f>SUMIF(data!$B$2:$B$201,B16,data!$I$2:$I$201)</f>
        <v/>
      </c>
      <c r="E16" s="49">
        <f>COUNTIF(data!$B$2:$B$201,B16)</f>
        <v/>
      </c>
      <c r="F16" s="49">
        <f>RANK(C16,$C$2:$C$28)</f>
        <v/>
      </c>
      <c r="G16" s="49">
        <f>IF(F16&lt;=10,"Yes","No")</f>
        <v/>
      </c>
    </row>
    <row r="17">
      <c r="A17" s="49" t="inlineStr">
        <is>
          <t>CUST022</t>
        </is>
      </c>
      <c r="B17" s="49" t="inlineStr">
        <is>
          <t>Linda Brown</t>
        </is>
      </c>
      <c r="C17" s="49">
        <f>SUMIF(data!$B$2:$B$201, B17,data!$E$2:$E$201)</f>
        <v/>
      </c>
      <c r="D17" s="49">
        <f>SUMIF(data!$B$2:$B$201,B17,data!$I$2:$I$201)</f>
        <v/>
      </c>
      <c r="E17" s="49">
        <f>COUNTIF(data!$B$2:$B$201,B17)</f>
        <v/>
      </c>
      <c r="F17" s="49">
        <f>RANK(C17,$C$2:$C$28)</f>
        <v/>
      </c>
      <c r="G17" s="49">
        <f>IF(F17&lt;=10,"Yes","No")</f>
        <v/>
      </c>
    </row>
    <row r="18">
      <c r="A18" s="49" t="inlineStr">
        <is>
          <t>CUST028</t>
        </is>
      </c>
      <c r="B18" s="49" t="inlineStr">
        <is>
          <t>John Brown</t>
        </is>
      </c>
      <c r="C18" s="49">
        <f>SUMIF(data!$B$2:$B$201, B18,data!$E$2:$E$201)</f>
        <v/>
      </c>
      <c r="D18" s="49">
        <f>SUMIF(data!$B$2:$B$201,B18,data!$I$2:$I$201)</f>
        <v/>
      </c>
      <c r="E18" s="49">
        <f>COUNTIF(data!$B$2:$B$201,B18)</f>
        <v/>
      </c>
      <c r="F18" s="49">
        <f>RANK(C18,$C$2:$C$28)</f>
        <v/>
      </c>
      <c r="G18" s="49">
        <f>IF(F18&lt;=10,"Yes","No")</f>
        <v/>
      </c>
    </row>
    <row r="19">
      <c r="A19" s="49" t="inlineStr">
        <is>
          <t>CUST025</t>
        </is>
      </c>
      <c r="B19" s="49" t="inlineStr">
        <is>
          <t>Linda Taylor</t>
        </is>
      </c>
      <c r="C19" s="49">
        <f>SUMIF(data!$B$2:$B$201, B19,data!$E$2:$E$201)</f>
        <v/>
      </c>
      <c r="D19" s="49">
        <f>SUMIF(data!$B$2:$B$201,B19,data!$I$2:$I$201)</f>
        <v/>
      </c>
      <c r="E19" s="49">
        <f>COUNTIF(data!$B$2:$B$201,B19)</f>
        <v/>
      </c>
      <c r="F19" s="49">
        <f>RANK(C19,$C$2:$C$28)</f>
        <v/>
      </c>
      <c r="G19" s="49">
        <f>IF(F19&lt;=10,"Yes","No")</f>
        <v/>
      </c>
    </row>
    <row r="20">
      <c r="A20" s="49" t="inlineStr">
        <is>
          <t>CUST021</t>
        </is>
      </c>
      <c r="B20" s="49" t="inlineStr">
        <is>
          <t>David Brown</t>
        </is>
      </c>
      <c r="C20" s="49">
        <f>SUMIF(data!$B$2:$B$201, B20,data!$E$2:$E$201)</f>
        <v/>
      </c>
      <c r="D20" s="49">
        <f>SUMIF(data!$B$2:$B$201,B20,data!$I$2:$I$201)</f>
        <v/>
      </c>
      <c r="E20" s="49">
        <f>COUNTIF(data!$B$2:$B$201,B20)</f>
        <v/>
      </c>
      <c r="F20" s="49">
        <f>RANK(C20,$C$2:$C$28)</f>
        <v/>
      </c>
      <c r="G20" s="49">
        <f>IF(F20&lt;=10,"Yes","No")</f>
        <v/>
      </c>
    </row>
    <row r="21">
      <c r="A21" s="49" t="inlineStr">
        <is>
          <t>CUST015</t>
        </is>
      </c>
      <c r="B21" s="49" t="inlineStr">
        <is>
          <t>David Davis</t>
        </is>
      </c>
      <c r="C21" s="49">
        <f>SUMIF(data!$B$2:$B$201, B21,data!$E$2:$E$201)</f>
        <v/>
      </c>
      <c r="D21" s="49">
        <f>SUMIF(data!$B$2:$B$201,B21,data!$I$2:$I$201)</f>
        <v/>
      </c>
      <c r="E21" s="49">
        <f>COUNTIF(data!$B$2:$B$201,B21)</f>
        <v/>
      </c>
      <c r="F21" s="49">
        <f>RANK(C21,$C$2:$C$28)</f>
        <v/>
      </c>
      <c r="G21" s="49">
        <f>IF(F21&lt;=10,"Yes","No")</f>
        <v/>
      </c>
    </row>
    <row r="22">
      <c r="A22" s="49" t="inlineStr">
        <is>
          <t>CUST016</t>
        </is>
      </c>
      <c r="B22" s="49" t="inlineStr">
        <is>
          <t>Mary Wilson</t>
        </is>
      </c>
      <c r="C22" s="49">
        <f>SUMIF(data!$B$2:$B$201, B22,data!$E$2:$E$201)</f>
        <v/>
      </c>
      <c r="D22" s="49">
        <f>SUMIF(data!$B$2:$B$201,B22,data!$I$2:$I$201)</f>
        <v/>
      </c>
      <c r="E22" s="49">
        <f>COUNTIF(data!$B$2:$B$201,B22)</f>
        <v/>
      </c>
      <c r="F22" s="49">
        <f>RANK(C22,$C$2:$C$28)</f>
        <v/>
      </c>
      <c r="G22" s="49">
        <f>IF(F22&lt;=10,"Yes","No")</f>
        <v/>
      </c>
    </row>
    <row r="23">
      <c r="A23" s="49" t="inlineStr">
        <is>
          <t>CUST011</t>
        </is>
      </c>
      <c r="B23" s="49" t="inlineStr">
        <is>
          <t>Emma Wilson</t>
        </is>
      </c>
      <c r="C23" s="49">
        <f>SUMIF(data!$B$2:$B$201, B23,data!$E$2:$E$201)</f>
        <v/>
      </c>
      <c r="D23" s="49">
        <f>SUMIF(data!$B$2:$B$201,B23,data!$I$2:$I$201)</f>
        <v/>
      </c>
      <c r="E23" s="49">
        <f>COUNTIF(data!$B$2:$B$201,B23)</f>
        <v/>
      </c>
      <c r="F23" s="49">
        <f>RANK(C23,$C$2:$C$28)</f>
        <v/>
      </c>
      <c r="G23" s="49">
        <f>IF(F23&lt;=10,"Yes","No")</f>
        <v/>
      </c>
    </row>
    <row r="24">
      <c r="A24" s="49" t="inlineStr">
        <is>
          <t>CUST002</t>
        </is>
      </c>
      <c r="B24" s="49" t="inlineStr">
        <is>
          <t>Linda Davis</t>
        </is>
      </c>
      <c r="C24" s="49">
        <f>SUMIF(data!$B$2:$B$201, B24,data!$E$2:$E$201)</f>
        <v/>
      </c>
      <c r="D24" s="49">
        <f>SUMIF(data!$B$2:$B$201,B24,data!$I$2:$I$201)</f>
        <v/>
      </c>
      <c r="E24" s="49">
        <f>COUNTIF(data!$B$2:$B$201,B24)</f>
        <v/>
      </c>
      <c r="F24" s="49">
        <f>RANK(C24,$C$2:$C$28)</f>
        <v/>
      </c>
      <c r="G24" s="49">
        <f>IF(F24&lt;=10,"Yes","No")</f>
        <v/>
      </c>
    </row>
    <row r="25">
      <c r="A25" s="49" t="inlineStr">
        <is>
          <t>CUST003</t>
        </is>
      </c>
      <c r="B25" s="49" t="inlineStr">
        <is>
          <t>Sarah Davis</t>
        </is>
      </c>
      <c r="C25" s="49">
        <f>SUMIF(data!$B$2:$B$201, B25,data!$E$2:$E$201)</f>
        <v/>
      </c>
      <c r="D25" s="49">
        <f>SUMIF(data!$B$2:$B$201,B25,data!$I$2:$I$201)</f>
        <v/>
      </c>
      <c r="E25" s="49">
        <f>COUNTIF(data!$B$2:$B$201,B25)</f>
        <v/>
      </c>
      <c r="F25" s="49">
        <f>RANK(C25,$C$2:$C$28)</f>
        <v/>
      </c>
      <c r="G25" s="49">
        <f>IF(F25&lt;=10,"Yes","No")</f>
        <v/>
      </c>
    </row>
    <row r="26">
      <c r="A26" s="49" t="inlineStr">
        <is>
          <t>CUST020</t>
        </is>
      </c>
      <c r="B26" s="49" t="inlineStr">
        <is>
          <t>Emma Taylor</t>
        </is>
      </c>
      <c r="C26" s="49">
        <f>SUMIF(data!$B$2:$B$201, B26,data!$E$2:$E$201)</f>
        <v/>
      </c>
      <c r="D26" s="49">
        <f>SUMIF(data!$B$2:$B$201,B26,data!$I$2:$I$201)</f>
        <v/>
      </c>
      <c r="E26" s="49">
        <f>COUNTIF(data!$B$2:$B$201,B26)</f>
        <v/>
      </c>
      <c r="F26" s="49">
        <f>RANK(C26,$C$2:$C$28)</f>
        <v/>
      </c>
      <c r="G26" s="49">
        <f>IF(F26&lt;=10,"Yes","No")</f>
        <v/>
      </c>
    </row>
    <row r="27">
      <c r="A27" s="49" t="inlineStr">
        <is>
          <t>CUST024</t>
        </is>
      </c>
      <c r="B27" s="49" t="inlineStr">
        <is>
          <t>Linda Moore</t>
        </is>
      </c>
      <c r="C27" s="49">
        <f>SUMIF(data!$B$2:$B$201, B27,data!$E$2:$E$201)</f>
        <v/>
      </c>
      <c r="D27" s="49">
        <f>SUMIF(data!$B$2:$B$201,B27,data!$I$2:$I$201)</f>
        <v/>
      </c>
      <c r="E27" s="49">
        <f>COUNTIF(data!$B$2:$B$201,B27)</f>
        <v/>
      </c>
      <c r="F27" s="49">
        <f>RANK(C27,$C$2:$C$28)</f>
        <v/>
      </c>
      <c r="G27" s="49">
        <f>IF(F27&lt;=10,"Yes","No")</f>
        <v/>
      </c>
    </row>
    <row r="28">
      <c r="A28" s="49" t="inlineStr">
        <is>
          <t>CUST004</t>
        </is>
      </c>
      <c r="B28" s="49" t="inlineStr">
        <is>
          <t>David Anderson</t>
        </is>
      </c>
      <c r="C28" s="49">
        <f>SUMIF(data!$B$2:$B$201, B28,data!$E$2:$E$201)</f>
        <v/>
      </c>
      <c r="D28" s="49">
        <f>SUMIF(data!$B$2:$B$201,B28,data!$I$2:$I$201)</f>
        <v/>
      </c>
      <c r="E28" s="49">
        <f>COUNTIF(data!$B$2:$B$201,B28)</f>
        <v/>
      </c>
      <c r="F28" s="49">
        <f>RANK(C28,$C$2:$C$28)</f>
        <v/>
      </c>
      <c r="G28" s="49">
        <f>IF(F28&lt;=10,"Yes","No")</f>
        <v/>
      </c>
    </row>
    <row r="29">
      <c r="A29" s="49" t="inlineStr">
        <is>
          <t>CUST013</t>
        </is>
      </c>
      <c r="B29" s="49" t="n"/>
      <c r="C29" s="49">
        <f>SUMIF(data!$B$2:$B$201, B29,data!$E$2:$E$201)</f>
        <v/>
      </c>
      <c r="D29" s="49">
        <f>SUMIF(data!$B$2:$B$201,B29,data!$I$2:$I$201)</f>
        <v/>
      </c>
      <c r="E29" s="49">
        <f>COUNTIF(data!$B$2:$B$201,B29)</f>
        <v/>
      </c>
      <c r="F29" s="49">
        <f>RANK(C29,$C$2:$C$28)</f>
        <v/>
      </c>
      <c r="G29" s="49">
        <f>IF(F29&lt;=10,"Yes","No")</f>
        <v/>
      </c>
    </row>
    <row r="30">
      <c r="A30" s="49" t="inlineStr">
        <is>
          <t>CUST027</t>
        </is>
      </c>
      <c r="B30" s="49" t="n"/>
      <c r="C30" s="49">
        <f>SUMIF(data!$B$2:$B$201, B30,data!$E$2:$E$201)</f>
        <v/>
      </c>
      <c r="D30" s="49">
        <f>SUMIF(data!$B$2:$B$201,B30,data!$I$2:$I$201)</f>
        <v/>
      </c>
      <c r="E30" s="49">
        <f>COUNTIF(data!$B$2:$B$201,B30)</f>
        <v/>
      </c>
      <c r="F30" s="49">
        <f>RANK(C30,$C$2:$C$28)</f>
        <v/>
      </c>
      <c r="G30" s="49">
        <f>IF(F30&lt;=10,"Yes","No")</f>
        <v/>
      </c>
    </row>
    <row r="31">
      <c r="A31" s="49" t="inlineStr">
        <is>
          <t>CUST018</t>
        </is>
      </c>
      <c r="B31" s="49" t="n"/>
      <c r="C31" s="49">
        <f>SUMIF(data!$B$2:$B$201, B31,data!$E$2:$E$201)</f>
        <v/>
      </c>
      <c r="D31" s="49">
        <f>SUMIF(data!$B$2:$B$201,B31,data!$I$2:$I$201)</f>
        <v/>
      </c>
      <c r="E31" s="49">
        <f>COUNTIF(data!$B$2:$B$201,B31)</f>
        <v/>
      </c>
      <c r="F31" s="49">
        <f>RANK(C31,$C$2:$C$28)</f>
        <v/>
      </c>
      <c r="G31" s="49">
        <f>IF(F31&lt;=10,"Yes","No")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zoomScale="65" workbookViewId="0">
      <selection activeCell="B13" sqref="B13"/>
    </sheetView>
  </sheetViews>
  <sheetFormatPr baseColWidth="8" defaultRowHeight="14.4"/>
  <cols>
    <col width="32.21875" customWidth="1" min="1" max="1"/>
    <col width="16" customWidth="1" min="2" max="2"/>
    <col width="27" bestFit="1" customWidth="1" min="4" max="4"/>
    <col width="11.77734375" bestFit="1" customWidth="1" min="5" max="5"/>
    <col width="15" customWidth="1" min="7" max="7"/>
    <col width="18.109375" customWidth="1" min="8" max="8"/>
    <col width="16.21875" customWidth="1" min="9" max="9"/>
  </cols>
  <sheetData>
    <row r="1" ht="61.2" customHeight="1">
      <c r="A1" s="18" t="inlineStr">
        <is>
          <t>WHAT IF ANALYSIS: Discount impact on price</t>
        </is>
      </c>
    </row>
    <row r="10" ht="27.6" customHeight="1">
      <c r="A10" s="41" t="inlineStr">
        <is>
          <t>WHAT IF DATA</t>
        </is>
      </c>
      <c r="B10" s="71" t="n"/>
      <c r="D10" s="42" t="inlineStr">
        <is>
          <t>CORRENT DATA</t>
        </is>
      </c>
      <c r="E10" s="71" t="n"/>
      <c r="G10" s="25" t="inlineStr">
        <is>
          <t>Discount Level</t>
        </is>
      </c>
      <c r="H10" s="25" t="inlineStr">
        <is>
          <t>Adjusted Total Profit</t>
        </is>
      </c>
      <c r="I10" s="25" t="inlineStr">
        <is>
          <t>Change vs Current</t>
        </is>
      </c>
    </row>
    <row r="11">
      <c r="A11" s="72" t="n"/>
      <c r="B11" s="73" t="n"/>
      <c r="D11" s="72" t="n"/>
      <c r="E11" s="73" t="n"/>
      <c r="G11" s="26" t="n">
        <v>0</v>
      </c>
      <c r="H11" s="27">
        <f t="array" ref="H11">E13-SUMPRODUCT((G11-data!$G$2:$G$201)*data!$E$2:$E$201)</f>
        <v/>
      </c>
      <c r="I11" s="28">
        <f>H11-$D$5</f>
        <v/>
      </c>
    </row>
    <row r="12">
      <c r="A12" s="19" t="inlineStr">
        <is>
          <t>Adjusted Total Profit at New Discount</t>
        </is>
      </c>
      <c r="B12" s="20" t="n">
        <v>0.1</v>
      </c>
      <c r="D12" s="19" t="inlineStr">
        <is>
          <t>Total Sales (all orders)</t>
        </is>
      </c>
      <c r="E12" s="23">
        <f>SUM(Data[Sales])</f>
        <v/>
      </c>
      <c r="G12" s="26" t="n">
        <v>0.05</v>
      </c>
      <c r="H12" s="27">
        <f t="array" ref="H12">E14-SUMPRODUCT((G12-data!$G$2:$G$201)*data!$E$2:$E$201)</f>
        <v/>
      </c>
      <c r="I12" s="28">
        <f>H12-$D$5</f>
        <v/>
      </c>
    </row>
    <row r="13">
      <c r="A13" s="19" t="inlineStr">
        <is>
          <t>Adjusted Total Profit at New Discount</t>
        </is>
      </c>
      <c r="B13" s="21">
        <f t="array" ref="B13">E13-SUMPRODUCT((#REF!-data!$G$2:$G$201)*data!$E$2:$E$201)</f>
        <v/>
      </c>
      <c r="D13" s="19" t="inlineStr">
        <is>
          <t>Total Profit (current discounts)</t>
        </is>
      </c>
      <c r="E13" s="23">
        <f>SUM(Data[Profit])</f>
        <v/>
      </c>
      <c r="G13" s="26" t="n">
        <v>0.1</v>
      </c>
      <c r="H13" s="27">
        <f t="array" ref="H13">E15-SUMPRODUCT((G13-data!$G$2:$G$201)*data!$E$2:$E$201)</f>
        <v/>
      </c>
      <c r="I13" s="28">
        <f>H13-$D$5</f>
        <v/>
      </c>
    </row>
    <row r="14">
      <c r="A14" s="19" t="inlineStr">
        <is>
          <t>Profit Impact ($)</t>
        </is>
      </c>
      <c r="B14" s="21">
        <f>E13-B13</f>
        <v/>
      </c>
      <c r="D14" s="24" t="inlineStr">
        <is>
          <t>Current Average Discount</t>
        </is>
      </c>
      <c r="E14" s="23">
        <f>AVERAGE(data!$G$2:$G$201)</f>
        <v/>
      </c>
      <c r="G14" s="26" t="n">
        <v>0.15</v>
      </c>
      <c r="H14" s="27">
        <f t="array" ref="H14">E16-SUMPRODUCT((G14-data!$G$2:$G$201)*data!$E$2:$E$201)</f>
        <v/>
      </c>
      <c r="I14" s="28">
        <f>H14-$D$5</f>
        <v/>
      </c>
    </row>
    <row r="15">
      <c r="A15" s="19" t="inlineStr">
        <is>
          <t>Profit Impact (%)</t>
        </is>
      </c>
      <c r="B15" s="22">
        <f>B14/E13</f>
        <v/>
      </c>
      <c r="G15" s="26" t="n">
        <v>0.2</v>
      </c>
      <c r="H15" s="27">
        <f t="array" ref="H15">E17-SUMPRODUCT((G15-data!$G$2:$G$201)*data!$E$2:$E$201)</f>
        <v/>
      </c>
      <c r="I15" s="28">
        <f>H15-$D$5</f>
        <v/>
      </c>
    </row>
    <row r="16">
      <c r="G16" s="26" t="n">
        <v>0.25</v>
      </c>
      <c r="H16" s="27">
        <f t="array" ref="H16">E18-SUMPRODUCT((G16-data!$G$2:$G$201)*data!$E$2:$E$201)</f>
        <v/>
      </c>
      <c r="I16" s="28">
        <f>H16-$D$5</f>
        <v/>
      </c>
    </row>
    <row r="17">
      <c r="G17" s="26" t="n">
        <v>0.3</v>
      </c>
      <c r="H17" s="27">
        <f t="array" ref="H17">E19-SUMPRODUCT((G17-data!$G$2:$G$201)*data!$E$2:$E$201)</f>
        <v/>
      </c>
      <c r="I17" s="28">
        <f>H17-$D$5</f>
        <v/>
      </c>
    </row>
  </sheetData>
  <mergeCells count="2">
    <mergeCell ref="A10:B11"/>
    <mergeCell ref="D10:E11"/>
  </mergeCells>
  <conditionalFormatting sqref="G11:I17">
    <cfRule type="expression" priority="1" dxfId="0">
      <formula>$B11=$D$8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E17"/>
  <sheetViews>
    <sheetView topLeftCell="A4" zoomScale="93" workbookViewId="0">
      <selection activeCell="N22" sqref="N22"/>
    </sheetView>
  </sheetViews>
  <sheetFormatPr baseColWidth="8" defaultRowHeight="14.4"/>
  <cols>
    <col width="9.88671875" bestFit="1" customWidth="1" min="2" max="2"/>
    <col width="10.21875" bestFit="1" customWidth="1" min="3" max="3"/>
    <col width="21.44140625" bestFit="1" customWidth="1" min="4" max="4"/>
  </cols>
  <sheetData>
    <row r="3" ht="25.8" customHeight="1">
      <c r="A3" s="29" t="inlineStr">
        <is>
          <t>MONTHLY SALES</t>
        </is>
      </c>
      <c r="B3" s="30" t="n"/>
      <c r="C3" s="30" t="n"/>
    </row>
    <row r="4">
      <c r="A4" s="35" t="inlineStr">
        <is>
          <t>MONTH</t>
        </is>
      </c>
      <c r="B4" s="35" t="inlineStr">
        <is>
          <t>Total Sales</t>
        </is>
      </c>
      <c r="C4" s="35" t="inlineStr">
        <is>
          <t>Total Profit</t>
        </is>
      </c>
      <c r="D4" s="35" t="inlineStr">
        <is>
          <t>Growth V/S Prior month</t>
        </is>
      </c>
      <c r="E4" s="35" t="n"/>
    </row>
    <row r="5">
      <c r="A5" s="36">
        <f t="array" ref="A5:A17">_xlfn.UNIQUE(Data[Month])</f>
        <v/>
      </c>
      <c r="B5" s="49" t="n"/>
      <c r="C5" s="49">
        <f>SUMIFS(data!$I$2:$I$201,data!$K$2:$K$201,A5)</f>
        <v/>
      </c>
      <c r="D5" s="49" t="n"/>
      <c r="E5" s="49" t="n"/>
    </row>
    <row r="6">
      <c r="A6" s="36" t="n">
        <v>45413</v>
      </c>
      <c r="B6" s="49">
        <f>SUMIFS(data!$E$2:$E$201,data!$K$2:$K$201,A6)</f>
        <v/>
      </c>
      <c r="C6" s="49">
        <f>SUMIFS(data!$I$2:$I$201,data!$K$2:$K$201,A6)</f>
        <v/>
      </c>
      <c r="D6" s="37">
        <f>(B6-B5)/B5</f>
        <v/>
      </c>
      <c r="E6" s="49" t="n"/>
    </row>
    <row r="7">
      <c r="A7" s="36" t="n">
        <v>45444</v>
      </c>
      <c r="B7" s="49">
        <f>SUMIFS(data!$E$2:$E$201,data!$K$2:$K$201,A7)</f>
        <v/>
      </c>
      <c r="C7" s="49">
        <f>SUMIFS(data!$I$2:$I$201,data!$K$2:$K$201,A7)</f>
        <v/>
      </c>
      <c r="D7" s="37">
        <f>(B7-B6)/B6</f>
        <v/>
      </c>
      <c r="E7" s="49" t="n"/>
    </row>
    <row r="8">
      <c r="A8" s="36" t="n">
        <v>45474</v>
      </c>
      <c r="B8" s="49">
        <f>SUMIFS(data!$E$2:$E$201,data!$K$2:$K$201,A8)</f>
        <v/>
      </c>
      <c r="C8" s="49">
        <f>SUMIFS(data!$I$2:$I$201,data!$K$2:$K$201,A8)</f>
        <v/>
      </c>
      <c r="D8" s="37">
        <f>(B8-B7)/B7</f>
        <v/>
      </c>
      <c r="E8" s="49" t="n"/>
    </row>
    <row r="9">
      <c r="A9" s="36" t="n">
        <v>45505</v>
      </c>
      <c r="B9" s="49">
        <f>SUMIFS(data!$E$2:$E$201,data!$K$2:$K$201,A9)</f>
        <v/>
      </c>
      <c r="C9" s="49">
        <f>SUMIFS(data!$I$2:$I$201,data!$K$2:$K$201,A9)</f>
        <v/>
      </c>
      <c r="D9" s="37">
        <f>(B9-B8)/B8</f>
        <v/>
      </c>
      <c r="E9" s="49" t="n"/>
    </row>
    <row r="10">
      <c r="A10" s="36" t="n">
        <v>45536</v>
      </c>
      <c r="B10" s="49">
        <f>SUMIFS(data!$E$2:$E$201,data!$K$2:$K$201,A10)</f>
        <v/>
      </c>
      <c r="C10" s="49">
        <f>SUMIFS(data!$I$2:$I$201,data!$K$2:$K$201,A10)</f>
        <v/>
      </c>
      <c r="D10" s="37">
        <f>(B10-B9)/B9</f>
        <v/>
      </c>
      <c r="E10" s="49" t="n"/>
    </row>
    <row r="11">
      <c r="A11" s="36" t="n">
        <v>45566</v>
      </c>
      <c r="B11" s="49">
        <f>SUMIFS(data!$E$2:$E$201,data!$K$2:$K$201,A11)</f>
        <v/>
      </c>
      <c r="C11" s="49">
        <f>SUMIFS(data!$I$2:$I$201,data!$K$2:$K$201,A11)</f>
        <v/>
      </c>
      <c r="D11" s="37">
        <f>(B11-B10)/B10</f>
        <v/>
      </c>
      <c r="E11" s="49" t="n"/>
    </row>
    <row r="12">
      <c r="A12" s="36" t="n">
        <v>45597</v>
      </c>
      <c r="B12" s="49">
        <f>SUMIFS(data!$E$2:$E$201,data!$K$2:$K$201,A12)</f>
        <v/>
      </c>
      <c r="C12" s="49">
        <f>SUMIFS(data!$I$2:$I$201,data!$K$2:$K$201,A12)</f>
        <v/>
      </c>
      <c r="D12" s="37">
        <f>(B12-B11)/B11</f>
        <v/>
      </c>
      <c r="E12" s="49" t="n"/>
    </row>
    <row r="13">
      <c r="A13" s="36" t="n">
        <v>45627</v>
      </c>
      <c r="B13" s="49">
        <f>SUMIFS(data!$E$2:$E$201,data!$K$2:$K$201,A13)</f>
        <v/>
      </c>
      <c r="C13" s="49">
        <f>SUMIFS(data!$I$2:$I$201,data!$K$2:$K$201,A13)</f>
        <v/>
      </c>
      <c r="D13" s="37">
        <f>(B13-B12)/B12</f>
        <v/>
      </c>
      <c r="E13" s="49" t="n"/>
    </row>
    <row r="14">
      <c r="A14" s="36" t="n">
        <v>45658</v>
      </c>
      <c r="B14" s="49">
        <f>SUMIFS(data!$E$2:$E$201,data!$K$2:$K$201,A14)</f>
        <v/>
      </c>
      <c r="C14" s="49">
        <f>SUMIFS(data!$I$2:$I$201,data!$K$2:$K$201,A14)</f>
        <v/>
      </c>
      <c r="D14" s="37">
        <f>(B14-B13)/B13</f>
        <v/>
      </c>
      <c r="E14" s="49" t="n"/>
    </row>
    <row r="15">
      <c r="A15" s="36" t="n">
        <v>45689</v>
      </c>
      <c r="B15" s="49">
        <f>SUMIFS(data!$E$2:$E$201,data!$K$2:$K$201,A15)</f>
        <v/>
      </c>
      <c r="C15" s="49">
        <f>SUMIFS(data!$I$2:$I$201,data!$K$2:$K$201,A15)</f>
        <v/>
      </c>
      <c r="D15" s="37">
        <f>(B15-B14)/B14</f>
        <v/>
      </c>
      <c r="E15" s="49" t="n"/>
    </row>
    <row r="16">
      <c r="A16" s="36" t="n">
        <v>45717</v>
      </c>
      <c r="B16" s="49">
        <f>SUMIFS(data!$E$2:$E$201,data!$K$2:$K$201,A16)</f>
        <v/>
      </c>
      <c r="C16" s="49">
        <f>SUMIFS(data!$I$2:$I$201,data!$K$2:$K$201,A16)</f>
        <v/>
      </c>
      <c r="D16" s="37">
        <f>(B16-B15)/B15</f>
        <v/>
      </c>
      <c r="E16" s="49" t="n"/>
    </row>
    <row r="17">
      <c r="A17" s="36" t="n">
        <v>45748</v>
      </c>
      <c r="B17" s="49">
        <f>SUMIFS(data!$E$2:$E$201,data!$K$2:$K$201,A17)</f>
        <v/>
      </c>
      <c r="C17" s="49">
        <f>SUMIFS(data!$I$2:$I$201,data!$K$2:$K$201,A17)</f>
        <v/>
      </c>
      <c r="D17" s="37">
        <f>(B17-B16)/B16</f>
        <v/>
      </c>
      <c r="E17" s="49" t="n"/>
    </row>
  </sheetData>
  <conditionalFormatting sqref="D5:D1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D32" sqref="D32"/>
    </sheetView>
  </sheetViews>
  <sheetFormatPr baseColWidth="8" defaultRowHeight="14.4"/>
  <cols>
    <col width="19.6640625" bestFit="1" customWidth="1" min="1" max="1"/>
    <col width="18.44140625" customWidth="1" min="2" max="2"/>
    <col width="11.5546875" bestFit="1" customWidth="1" min="3" max="3"/>
    <col width="10" bestFit="1" customWidth="1" min="4" max="4"/>
    <col width="16.109375" bestFit="1" customWidth="1" min="5" max="5"/>
  </cols>
  <sheetData>
    <row r="1" ht="28.8" customHeight="1">
      <c r="A1" s="31" t="n"/>
      <c r="B1" s="33" t="inlineStr">
        <is>
          <t>Descriptive statiscs</t>
        </is>
      </c>
      <c r="C1" s="32" t="n"/>
      <c r="D1" s="32" t="n"/>
      <c r="E1" s="31" t="n"/>
      <c r="F1" s="31" t="n"/>
    </row>
    <row r="2">
      <c r="A2" s="43" t="inlineStr">
        <is>
          <t>Metric</t>
        </is>
      </c>
      <c r="B2" s="43" t="inlineStr">
        <is>
          <t>Sales</t>
        </is>
      </c>
      <c r="C2" s="43" t="inlineStr">
        <is>
          <t>Quantity</t>
        </is>
      </c>
      <c r="D2" s="43" t="inlineStr">
        <is>
          <t>Discount</t>
        </is>
      </c>
      <c r="E2" s="43" t="inlineStr">
        <is>
          <t>Profit</t>
        </is>
      </c>
    </row>
    <row r="3">
      <c r="A3" s="43" t="inlineStr">
        <is>
          <t>Mean</t>
        </is>
      </c>
      <c r="B3" s="46">
        <f>AVERAGE(data!$E$2:$E$201)</f>
        <v/>
      </c>
      <c r="C3" s="44">
        <f>AVERAGE(data!$F$2:$F$201)</f>
        <v/>
      </c>
      <c r="D3" s="47">
        <f>AVERAGE(data!$G$2:$G$201)</f>
        <v/>
      </c>
      <c r="E3" s="46">
        <f>AVERAGE(data!$I$2:$I$201)</f>
        <v/>
      </c>
    </row>
    <row r="4">
      <c r="A4" s="43" t="inlineStr">
        <is>
          <t>Median</t>
        </is>
      </c>
      <c r="B4" s="44">
        <f>MEDIAN(data!$E$2:$E$201)</f>
        <v/>
      </c>
      <c r="C4" s="44">
        <f>MEDIAN(data!$F$2:$F$201)</f>
        <v/>
      </c>
      <c r="D4" s="47">
        <f>MEDIAN(data!$G$2:$G$201)</f>
        <v/>
      </c>
      <c r="E4" s="46">
        <f>MEDIAN(data!$I$2:$I$201)</f>
        <v/>
      </c>
    </row>
    <row r="5">
      <c r="A5" s="43" t="inlineStr">
        <is>
          <t>Mode</t>
        </is>
      </c>
      <c r="B5" s="44">
        <f>IFERROR(MODE(data!$E$2:$E$201),"No repeated value")</f>
        <v/>
      </c>
      <c r="C5" s="44">
        <f>IFERROR(MODE(data!$F$2:$F$201),"No repeated value")</f>
        <v/>
      </c>
      <c r="D5" s="47">
        <f>IFERROR(MODE(data!$G$2:$G$201),"No repeated value")</f>
        <v/>
      </c>
      <c r="E5" s="44">
        <f>IFERROR(MODE(data!$I$2:$I$201),"No repeated value")</f>
        <v/>
      </c>
    </row>
    <row r="6">
      <c r="A6" s="45" t="inlineStr">
        <is>
          <t>Standard Deviation</t>
        </is>
      </c>
      <c r="B6" s="46">
        <f>STDEV(data!$E$2:$E$201)</f>
        <v/>
      </c>
      <c r="C6" s="46">
        <f>STDEV(data!$F$2:$F$201)</f>
        <v/>
      </c>
      <c r="D6" s="47">
        <f>STDEV(data!$G$2:$G$201)</f>
        <v/>
      </c>
      <c r="E6" s="46">
        <f>STDEV(data!$I$2:$I$201)</f>
        <v/>
      </c>
    </row>
    <row r="7">
      <c r="A7" s="45" t="inlineStr">
        <is>
          <t>Variance</t>
        </is>
      </c>
      <c r="B7" s="46">
        <f>VAR(data!$E$2:$E$201)</f>
        <v/>
      </c>
      <c r="C7" s="46">
        <f>VAR(data!$F$2:$F$201)</f>
        <v/>
      </c>
      <c r="D7" s="47">
        <f>VAR(data!$G$2:$G$201)</f>
        <v/>
      </c>
      <c r="E7" s="46">
        <f>VAR(data!$I$2:$I$201)</f>
        <v/>
      </c>
    </row>
    <row r="8">
      <c r="A8" s="45" t="inlineStr">
        <is>
          <t>Minimum</t>
        </is>
      </c>
      <c r="B8" s="44">
        <f>MIN(data!$E$2:$E$201)</f>
        <v/>
      </c>
      <c r="C8" s="44">
        <f>MIN(data!$F$2:$F$201)</f>
        <v/>
      </c>
      <c r="D8" s="47">
        <f>MIN(data!$G$2:$G$201)</f>
        <v/>
      </c>
      <c r="E8" s="44">
        <f>MIN(data!$I$2:$I$201)</f>
        <v/>
      </c>
    </row>
    <row r="9">
      <c r="A9" s="45" t="inlineStr">
        <is>
          <t>Maximum</t>
        </is>
      </c>
      <c r="B9" s="44">
        <f>MAX(data!$E$2:$E$201)</f>
        <v/>
      </c>
      <c r="C9" s="44">
        <f>MAX(data!$F$2:$F$201)</f>
        <v/>
      </c>
      <c r="D9" s="47">
        <f>MAX(data!$G$2:$G$201)</f>
        <v/>
      </c>
      <c r="E9" s="44">
        <f>MAX(data!$I$2:$I$201)</f>
        <v/>
      </c>
    </row>
    <row r="10">
      <c r="A10" s="45" t="inlineStr">
        <is>
          <t>Range</t>
        </is>
      </c>
      <c r="B10" s="44">
        <f>MAX(data!$E$2:$E$201)-MIN(data!$E$2:$E$201)</f>
        <v/>
      </c>
      <c r="C10" s="44">
        <f>MAX(data!$F$2:$F$201)-MIN(data!$F$2:$F$201)</f>
        <v/>
      </c>
      <c r="D10" s="47">
        <f>MAX(data!$G$2:$G$201)-MIN(data!$G$2:$G$201)</f>
        <v/>
      </c>
      <c r="E10" s="44">
        <f>MAX(data!$I$2:$I$201)</f>
        <v/>
      </c>
    </row>
    <row r="11">
      <c r="A11" s="45" t="inlineStr">
        <is>
          <t>Count</t>
        </is>
      </c>
      <c r="B11" s="44">
        <f>COUNT(data!$E$2:$E$201)</f>
        <v/>
      </c>
      <c r="C11" s="44">
        <f>COUNT(data!$F$2:$F$201)</f>
        <v/>
      </c>
      <c r="D11" s="47">
        <f>COUNT(data!$G$2:$G$201)</f>
        <v/>
      </c>
      <c r="E11" s="44">
        <f>COUNT(data!$I$2:$I$201)</f>
        <v/>
      </c>
    </row>
    <row r="12">
      <c r="A12" s="45" t="inlineStr">
        <is>
          <t>Sum</t>
        </is>
      </c>
      <c r="B12" s="44">
        <f>SUM(data!$E$2:$E$201)</f>
        <v/>
      </c>
      <c r="C12" s="44">
        <f>SUM(data!$F$2:$F$201)</f>
        <v/>
      </c>
      <c r="D12" s="47">
        <f>SUM(data!$G$2:$G$201)</f>
        <v/>
      </c>
      <c r="E12" s="44">
        <f>SUM(data!$I$2:$I$201)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D22" sqref="D22"/>
    </sheetView>
  </sheetViews>
  <sheetFormatPr baseColWidth="8" defaultRowHeight="14.4"/>
  <cols>
    <col width="26.21875" customWidth="1" min="1" max="1"/>
    <col width="12" bestFit="1" customWidth="1" min="2" max="2"/>
    <col width="13.44140625" bestFit="1" customWidth="1" min="3" max="3"/>
    <col width="12" bestFit="1" customWidth="1" min="4" max="5"/>
    <col width="12.44140625" bestFit="1" customWidth="1" min="6" max="6"/>
    <col width="12" bestFit="1" customWidth="1" min="7" max="7"/>
    <col width="12.109375" bestFit="1" customWidth="1" min="8" max="9"/>
  </cols>
  <sheetData>
    <row r="1">
      <c r="A1" t="inlineStr">
        <is>
          <t xml:space="preserve"> REGRESSION: Profit vs Sales</t>
        </is>
      </c>
    </row>
    <row r="3">
      <c r="A3" s="48" t="inlineStr">
        <is>
          <t>Regression Statistics</t>
        </is>
      </c>
      <c r="B3" s="48" t="n"/>
    </row>
    <row r="4">
      <c r="A4" s="49" t="inlineStr">
        <is>
          <t>Multiple R</t>
        </is>
      </c>
      <c r="B4" s="49" t="n">
        <v>0.7734030641434262</v>
      </c>
    </row>
    <row r="5">
      <c r="A5" s="49" t="inlineStr">
        <is>
          <t>R Square</t>
        </is>
      </c>
      <c r="B5" s="49" t="n">
        <v>0.5981522996264407</v>
      </c>
    </row>
    <row r="6">
      <c r="A6" s="49" t="inlineStr">
        <is>
          <t>Adjusted R Square</t>
        </is>
      </c>
      <c r="B6" s="49" t="n">
        <v>0.5961227657861702</v>
      </c>
    </row>
    <row r="7">
      <c r="A7" s="49" t="inlineStr">
        <is>
          <t>Standard Error</t>
        </is>
      </c>
      <c r="B7" s="49" t="n">
        <v>190.1924730228562</v>
      </c>
    </row>
    <row r="8">
      <c r="A8" s="49" t="inlineStr">
        <is>
          <t>Observations</t>
        </is>
      </c>
      <c r="B8" s="49" t="n">
        <v>200</v>
      </c>
    </row>
    <row r="10">
      <c r="A10" t="inlineStr">
        <is>
          <t>ANOVA</t>
        </is>
      </c>
    </row>
    <row r="11">
      <c r="A11" s="50" t="n"/>
      <c r="B11" s="50" t="inlineStr">
        <is>
          <t>df</t>
        </is>
      </c>
      <c r="C11" s="50" t="inlineStr">
        <is>
          <t>SS</t>
        </is>
      </c>
      <c r="D11" s="50" t="inlineStr">
        <is>
          <t>MS</t>
        </is>
      </c>
      <c r="E11" s="50" t="inlineStr">
        <is>
          <t>F</t>
        </is>
      </c>
      <c r="F11" s="50" t="inlineStr">
        <is>
          <t>Significance F</t>
        </is>
      </c>
    </row>
    <row r="12">
      <c r="A12" s="49" t="inlineStr">
        <is>
          <t>Regression</t>
        </is>
      </c>
      <c r="B12" s="49" t="n">
        <v>1</v>
      </c>
      <c r="C12" s="49" t="n">
        <v>10661102.78879112</v>
      </c>
      <c r="D12" s="49" t="n">
        <v>10661102.78879112</v>
      </c>
      <c r="E12" s="49" t="n">
        <v>294.7239842754814</v>
      </c>
      <c r="F12" s="49" t="n">
        <v>4.626936755890852e-41</v>
      </c>
    </row>
    <row r="13">
      <c r="A13" s="49" t="inlineStr">
        <is>
          <t>Residual</t>
        </is>
      </c>
      <c r="B13" s="49" t="n">
        <v>198</v>
      </c>
      <c r="C13" s="49" t="n">
        <v>7162289.005320874</v>
      </c>
      <c r="D13" s="49" t="n">
        <v>36173.17679454987</v>
      </c>
      <c r="E13" s="49" t="n"/>
      <c r="F13" s="49" t="n"/>
    </row>
    <row r="14">
      <c r="A14" s="49" t="inlineStr">
        <is>
          <t>Total</t>
        </is>
      </c>
      <c r="B14" s="49" t="n">
        <v>199</v>
      </c>
      <c r="C14" s="49" t="n">
        <v>17823391.794112</v>
      </c>
      <c r="D14" s="49" t="n"/>
      <c r="E14" s="49" t="n"/>
      <c r="F14" s="49" t="n"/>
    </row>
    <row r="16">
      <c r="A16" s="50" t="n"/>
      <c r="B16" s="50" t="inlineStr">
        <is>
          <t>Coefficients</t>
        </is>
      </c>
      <c r="C16" s="50" t="inlineStr">
        <is>
          <t>Standard Error</t>
        </is>
      </c>
      <c r="D16" s="50" t="inlineStr">
        <is>
          <t>t Stat</t>
        </is>
      </c>
      <c r="E16" s="50" t="inlineStr">
        <is>
          <t>P-value</t>
        </is>
      </c>
      <c r="F16" s="50" t="inlineStr">
        <is>
          <t>Lower 95%</t>
        </is>
      </c>
      <c r="G16" s="50" t="inlineStr">
        <is>
          <t>Upper 95%</t>
        </is>
      </c>
      <c r="H16" s="50" t="inlineStr">
        <is>
          <t>Lower 95.0%</t>
        </is>
      </c>
      <c r="I16" s="50" t="inlineStr">
        <is>
          <t>Upper 95.0%</t>
        </is>
      </c>
    </row>
    <row r="17">
      <c r="A17" s="49" t="inlineStr">
        <is>
          <t>Intercept</t>
        </is>
      </c>
      <c r="B17" s="49" t="n">
        <v>393.9976651695179</v>
      </c>
      <c r="C17" s="49" t="n">
        <v>36.47626798096596</v>
      </c>
      <c r="D17" s="49" t="n">
        <v>10.80147961888847</v>
      </c>
      <c r="E17" s="49" t="n">
        <v>1.113784331442215e-21</v>
      </c>
      <c r="F17" s="49" t="n">
        <v>322.0658271848121</v>
      </c>
      <c r="G17" s="49" t="n">
        <v>465.9295031542236</v>
      </c>
      <c r="H17" s="49" t="n">
        <v>322.0658271848121</v>
      </c>
      <c r="I17" s="49" t="n">
        <v>465.9295031542236</v>
      </c>
    </row>
    <row r="18">
      <c r="A18" s="49" t="inlineStr">
        <is>
          <t>Profit</t>
        </is>
      </c>
      <c r="B18" s="49" t="n">
        <v>1.704837083452568</v>
      </c>
      <c r="C18" s="49" t="n">
        <v>0.09930592103445465</v>
      </c>
      <c r="D18" s="49" t="n">
        <v>17.16752702853505</v>
      </c>
      <c r="E18" s="49" t="n">
        <v>4.626936755890721e-41</v>
      </c>
      <c r="F18" s="49" t="n">
        <v>1.509004071519991</v>
      </c>
      <c r="G18" s="49" t="n">
        <v>1.900670095385145</v>
      </c>
      <c r="H18" s="49" t="n">
        <v>1.509004071519991</v>
      </c>
      <c r="I18" s="49" t="n">
        <v>1.900670095385145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selection activeCell="P11" sqref="P11"/>
    </sheetView>
  </sheetViews>
  <sheetFormatPr baseColWidth="8" defaultRowHeight="14.4"/>
  <cols>
    <col width="13.21875" bestFit="1" customWidth="1" min="1" max="1"/>
    <col width="15.21875" bestFit="1" customWidth="1" min="2" max="2"/>
    <col width="8.77734375" bestFit="1" customWidth="1" min="3" max="6"/>
    <col width="10.77734375" bestFit="1" customWidth="1" min="7" max="7"/>
  </cols>
  <sheetData>
    <row r="1" ht="36.6" customHeight="1">
      <c r="A1" s="40" t="inlineStr">
        <is>
          <t>Total sales by region and product</t>
        </is>
      </c>
      <c r="B1" s="31" t="n"/>
      <c r="C1" s="31" t="n"/>
      <c r="D1" s="31" t="n"/>
      <c r="E1" s="31" t="n"/>
      <c r="F1" s="31" t="n"/>
      <c r="G1" s="31" t="n"/>
    </row>
    <row r="6">
      <c r="A6" s="38" t="inlineStr">
        <is>
          <t>Sum of Sales</t>
        </is>
      </c>
      <c r="B6" s="38" t="inlineStr">
        <is>
          <t>Column Labels</t>
        </is>
      </c>
    </row>
    <row r="7">
      <c r="A7" s="38" t="inlineStr">
        <is>
          <t>Row Labels</t>
        </is>
      </c>
      <c r="B7" t="inlineStr">
        <is>
          <t>Central</t>
        </is>
      </c>
      <c r="C7" t="inlineStr">
        <is>
          <t>East</t>
        </is>
      </c>
      <c r="D7" t="inlineStr">
        <is>
          <t>North</t>
        </is>
      </c>
      <c r="E7" t="inlineStr">
        <is>
          <t>South</t>
        </is>
      </c>
      <c r="F7" t="inlineStr">
        <is>
          <t>West</t>
        </is>
      </c>
      <c r="G7" t="inlineStr">
        <is>
          <t>Grand Total</t>
        </is>
      </c>
    </row>
    <row r="8">
      <c r="A8" s="39" t="inlineStr">
        <is>
          <t>Books</t>
        </is>
      </c>
      <c r="B8" t="n">
        <v>11297.15</v>
      </c>
      <c r="C8" t="n">
        <v>11389.09</v>
      </c>
      <c r="D8" t="n">
        <v>8037.010000000001</v>
      </c>
      <c r="E8" t="n">
        <v>9588.040000000001</v>
      </c>
      <c r="F8" t="n">
        <v>6691.17</v>
      </c>
      <c r="G8" t="n">
        <v>47002.46000000001</v>
      </c>
    </row>
    <row r="9">
      <c r="A9" s="39" t="inlineStr">
        <is>
          <t>Clothing</t>
        </is>
      </c>
      <c r="B9" t="n">
        <v>12200.26</v>
      </c>
      <c r="C9" t="n">
        <v>2401.45</v>
      </c>
      <c r="D9" t="n">
        <v>8422.82</v>
      </c>
      <c r="E9" t="n">
        <v>8393.630000000001</v>
      </c>
      <c r="F9" t="n">
        <v>10509.43</v>
      </c>
      <c r="G9" t="n">
        <v>41927.59</v>
      </c>
    </row>
    <row r="10">
      <c r="A10" s="39" t="inlineStr">
        <is>
          <t>Electronics</t>
        </is>
      </c>
      <c r="B10" t="n">
        <v>6621.24</v>
      </c>
      <c r="C10" t="n">
        <v>2869.54</v>
      </c>
      <c r="D10" t="n">
        <v>8191.709999999999</v>
      </c>
      <c r="E10" t="n">
        <v>11989.07</v>
      </c>
      <c r="F10" t="n">
        <v>11372.44</v>
      </c>
      <c r="G10" t="n">
        <v>41044</v>
      </c>
    </row>
    <row r="11">
      <c r="A11" s="39" t="inlineStr">
        <is>
          <t>Furniture</t>
        </is>
      </c>
      <c r="B11" t="n">
        <v>4876.96</v>
      </c>
      <c r="C11" t="n">
        <v>7592.339999999999</v>
      </c>
      <c r="D11" t="n">
        <v>6978.08</v>
      </c>
      <c r="E11" t="n">
        <v>7982.73</v>
      </c>
      <c r="F11" t="n">
        <v>9182.780000000001</v>
      </c>
      <c r="G11" t="n">
        <v>36612.89</v>
      </c>
    </row>
    <row r="12">
      <c r="A12" s="39" t="inlineStr">
        <is>
          <t>Office Supplies</t>
        </is>
      </c>
      <c r="B12" t="n">
        <v>8472.719999999999</v>
      </c>
      <c r="C12" t="n">
        <v>8189.220000000001</v>
      </c>
      <c r="D12" t="n">
        <v>3345.8</v>
      </c>
      <c r="E12" t="n">
        <v>2295.32</v>
      </c>
      <c r="F12" t="n">
        <v>6327.76</v>
      </c>
      <c r="G12" t="n">
        <v>28630.82</v>
      </c>
    </row>
    <row r="13">
      <c r="A13" s="39" t="inlineStr">
        <is>
          <t>Grand Total</t>
        </is>
      </c>
      <c r="B13" t="n">
        <v>43468.33</v>
      </c>
      <c r="C13" t="n">
        <v>32441.64</v>
      </c>
      <c r="D13" t="n">
        <v>34975.42000000001</v>
      </c>
      <c r="E13" t="n">
        <v>40248.79</v>
      </c>
      <c r="F13" t="n">
        <v>44083.58</v>
      </c>
      <c r="G13" t="n">
        <v>195217.76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2026-09-10T13:24:40Z</dcterms:created>
  <dcterms:modified xmlns:dcterms="http://purl.org/dc/terms/" xmlns:xsi="http://www.w3.org/2001/XMLSchema-instance" xsi:type="dcterms:W3CDTF">2026-09-11T11:20:58Z</dcterms:modified>
  <cp:lastModifiedBy>Divyesh Jadav</cp:lastModifiedBy>
</cp:coreProperties>
</file>